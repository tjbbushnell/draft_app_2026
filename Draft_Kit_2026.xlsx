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aft Board" sheetId="1" state="visible" r:id="rId1"/>
    <sheet xmlns:r="http://schemas.openxmlformats.org/officeDocument/2006/relationships" name="Scoring Rules" sheetId="2" state="visible" r:id="rId2"/>
    <sheet xmlns:r="http://schemas.openxmlformats.org/officeDocument/2006/relationships" name="Scoring Calculator"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1C221B"/>
      <sz val="10.5"/>
    </font>
    <font>
      <b val="1"/>
      <color rgb="00FFFFFF"/>
      <sz val="10"/>
    </font>
    <font>
      <sz val="10"/>
    </font>
    <font>
      <b val="1"/>
      <sz val="10"/>
    </font>
    <font>
      <i val="1"/>
      <sz val="9"/>
    </font>
    <font>
      <b val="1"/>
      <sz val="14"/>
    </font>
    <font>
      <b val="1"/>
    </font>
    <font>
      <b val="1"/>
      <color rgb="00FFFFFF"/>
    </font>
    <font>
      <i val="1"/>
    </font>
    <font>
      <b val="1"/>
      <sz val="12"/>
    </font>
    <font>
      <b val="1"/>
      <color rgb="002C6B4A"/>
      <sz val="14"/>
    </font>
    <font>
      <b val="1"/>
      <color rgb="00FFFFFF"/>
      <sz val="9"/>
    </font>
    <font>
      <color rgb="00FFFFFF"/>
      <sz val="9"/>
    </font>
    <font>
      <i val="1"/>
      <color rgb="00FFFFFF"/>
      <sz val="8.5"/>
    </font>
    <font>
      <sz val="11"/>
    </font>
    <font>
      <b val="1"/>
      <sz val="13"/>
    </font>
  </fonts>
  <fills count="35">
    <fill>
      <patternFill/>
    </fill>
    <fill>
      <patternFill patternType="gray125"/>
    </fill>
    <fill>
      <patternFill patternType="solid">
        <fgColor rgb="001C221B"/>
      </patternFill>
    </fill>
    <fill>
      <patternFill patternType="solid">
        <fgColor rgb="00C6E8C6"/>
      </patternFill>
    </fill>
    <fill>
      <patternFill patternType="solid">
        <fgColor rgb="00F1C2BC"/>
      </patternFill>
    </fill>
    <fill>
      <patternFill patternType="solid">
        <fgColor rgb="008FD19E"/>
      </patternFill>
    </fill>
    <fill>
      <patternFill patternType="solid">
        <fgColor rgb="00F2EFE3"/>
      </patternFill>
    </fill>
    <fill>
      <patternFill patternType="solid">
        <fgColor rgb="00FFE58A"/>
      </patternFill>
    </fill>
    <fill>
      <patternFill patternType="solid">
        <fgColor rgb="00F6D9C4"/>
      </patternFill>
    </fill>
    <fill>
      <patternFill patternType="solid">
        <fgColor rgb="00F6D3B0"/>
      </patternFill>
    </fill>
    <fill>
      <patternFill patternType="solid">
        <fgColor rgb="00D7ECDA"/>
      </patternFill>
    </fill>
    <fill>
      <patternFill patternType="solid">
        <fgColor rgb="00DCEAD3"/>
      </patternFill>
    </fill>
    <fill>
      <patternFill patternType="solid">
        <fgColor rgb="00C9DCEA"/>
      </patternFill>
    </fill>
    <fill>
      <patternFill patternType="solid">
        <fgColor rgb="00F5E3AE"/>
      </patternFill>
    </fill>
    <fill>
      <patternFill patternType="solid">
        <fgColor rgb="00F7D7D3"/>
      </patternFill>
    </fill>
    <fill>
      <patternFill patternType="solid">
        <fgColor rgb="00EAEAEA"/>
      </patternFill>
    </fill>
    <fill>
      <patternFill patternType="solid">
        <fgColor rgb="00F1A6A0"/>
      </patternFill>
    </fill>
    <fill>
      <patternFill patternType="solid">
        <fgColor rgb="00E2D3EF"/>
      </patternFill>
    </fill>
    <fill>
      <patternFill patternType="solid">
        <fgColor rgb="00E3ECF1"/>
      </patternFill>
    </fill>
    <fill>
      <patternFill patternType="solid">
        <fgColor rgb="00E1EEDD"/>
      </patternFill>
    </fill>
    <fill>
      <patternFill patternType="solid">
        <fgColor rgb="00F3E7CC"/>
      </patternFill>
    </fill>
    <fill>
      <patternFill patternType="solid">
        <fgColor rgb="00FFF6D9"/>
      </patternFill>
    </fill>
    <fill>
      <patternFill patternType="solid">
        <fgColor rgb="00E4EEE3"/>
      </patternFill>
    </fill>
    <fill>
      <patternFill patternType="solid">
        <fgColor rgb="009C3A2E"/>
      </patternFill>
    </fill>
    <fill>
      <patternFill patternType="solid">
        <fgColor rgb="0033607F"/>
      </patternFill>
    </fill>
    <fill>
      <patternFill patternType="solid">
        <fgColor rgb="009A6B12"/>
      </patternFill>
    </fill>
    <fill>
      <patternFill patternType="solid">
        <fgColor rgb="00B85A1E"/>
      </patternFill>
    </fill>
    <fill>
      <patternFill patternType="solid">
        <fgColor rgb="006A4A80"/>
      </patternFill>
    </fill>
    <fill>
      <patternFill patternType="solid">
        <fgColor rgb="00555555"/>
      </patternFill>
    </fill>
    <fill>
      <patternFill patternType="solid">
        <fgColor rgb="001F6B6B"/>
      </patternFill>
    </fill>
    <fill>
      <patternFill patternType="solid">
        <fgColor rgb="005A4A2C"/>
      </patternFill>
    </fill>
    <fill>
      <patternFill patternType="solid">
        <fgColor rgb="002E5A8A"/>
      </patternFill>
    </fill>
    <fill>
      <patternFill patternType="solid">
        <fgColor rgb="007A3B5A"/>
      </patternFill>
    </fill>
    <fill>
      <patternFill patternType="solid">
        <fgColor rgb="004A6B2C"/>
      </patternFill>
    </fill>
    <fill>
      <patternFill patternType="solid">
        <fgColor rgb="003A3A6B"/>
      </patternFill>
    </fill>
  </fills>
  <borders count="3">
    <border>
      <left/>
      <right/>
      <top/>
      <bottom/>
      <diagonal/>
    </border>
    <border>
      <left style="thin">
        <color rgb="00DDDDDD"/>
      </left>
      <right style="thin">
        <color rgb="00DDDDDD"/>
      </right>
      <top style="thin">
        <color rgb="00DDDDDD"/>
      </top>
      <bottom style="thin">
        <color rgb="00DDDDDD"/>
      </bottom>
    </border>
    <border>
      <left style="thin"/>
      <right style="thin"/>
      <top style="thin"/>
      <bottom style="thin"/>
    </border>
  </borders>
  <cellStyleXfs count="1">
    <xf numFmtId="0" fontId="0" fillId="0" borderId="0"/>
  </cellStyleXfs>
  <cellXfs count="90">
    <xf numFmtId="0" fontId="0" fillId="0" borderId="0" pivotButton="0" quotePrefix="0" xfId="0"/>
    <xf numFmtId="0" fontId="1" fillId="0" borderId="0" applyAlignment="1" pivotButton="0" quotePrefix="0" xfId="0">
      <alignment horizontal="left" vertical="center" wrapText="1"/>
    </xf>
    <xf numFmtId="0" fontId="2" fillId="2" borderId="0"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pivotButton="0" quotePrefix="0" xfId="0"/>
    <xf numFmtId="0" fontId="5" fillId="0" borderId="1" pivotButton="0" quotePrefix="0" xfId="0"/>
    <xf numFmtId="0" fontId="4" fillId="3" borderId="1" pivotButton="0" quotePrefix="0" xfId="0"/>
    <xf numFmtId="0" fontId="3" fillId="0" borderId="1" applyAlignment="1" pivotButton="0" quotePrefix="0" xfId="0">
      <alignment vertical="center" wrapText="1"/>
    </xf>
    <xf numFmtId="0" fontId="3" fillId="4" borderId="1" pivotButton="0" quotePrefix="0" xfId="0"/>
    <xf numFmtId="0" fontId="4" fillId="5" borderId="1" applyAlignment="1" pivotButton="0" quotePrefix="0" xfId="0">
      <alignment horizontal="center"/>
    </xf>
    <xf numFmtId="0" fontId="3" fillId="6" borderId="1" pivotButton="0" quotePrefix="0" xfId="0"/>
    <xf numFmtId="0" fontId="4" fillId="7" borderId="1" pivotButton="0" quotePrefix="0" xfId="0"/>
    <xf numFmtId="0" fontId="3" fillId="8" borderId="1" pivotButton="0" quotePrefix="0" xfId="0"/>
    <xf numFmtId="0" fontId="4" fillId="9" borderId="1" pivotButton="0" quotePrefix="0" xfId="0"/>
    <xf numFmtId="0" fontId="4" fillId="10" borderId="1" applyAlignment="1" pivotButton="0" quotePrefix="0" xfId="0">
      <alignment horizontal="center"/>
    </xf>
    <xf numFmtId="0" fontId="4" fillId="4" borderId="1" pivotButton="0" quotePrefix="0" xfId="0"/>
    <xf numFmtId="0" fontId="3" fillId="11" borderId="1" pivotButton="0" quotePrefix="0" xfId="0"/>
    <xf numFmtId="0" fontId="4" fillId="12" borderId="1" pivotButton="0" quotePrefix="0" xfId="0"/>
    <xf numFmtId="0" fontId="4" fillId="14" borderId="1" applyAlignment="1" pivotButton="0" quotePrefix="0" xfId="0">
      <alignment horizontal="center"/>
    </xf>
    <xf numFmtId="0" fontId="4" fillId="13" borderId="1" pivotButton="0" quotePrefix="0" xfId="0"/>
    <xf numFmtId="0" fontId="4" fillId="15" borderId="1" pivotButton="0" quotePrefix="0" xfId="0"/>
    <xf numFmtId="0" fontId="4" fillId="16" borderId="1" applyAlignment="1" pivotButton="0" quotePrefix="0" xfId="0">
      <alignment horizontal="center"/>
    </xf>
    <xf numFmtId="0" fontId="4" fillId="17" borderId="1" pivotButton="0" quotePrefix="0" xfId="0"/>
    <xf numFmtId="0" fontId="6" fillId="0" borderId="0" pivotButton="0" quotePrefix="0" xfId="0"/>
    <xf numFmtId="0" fontId="7" fillId="0" borderId="0" pivotButton="0" quotePrefix="0" xfId="0"/>
    <xf numFmtId="0" fontId="8" fillId="2"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15" borderId="0" pivotButton="0" quotePrefix="0" xfId="0"/>
    <xf numFmtId="0" fontId="9" fillId="0" borderId="0" applyAlignment="1" pivotButton="0" quotePrefix="0" xfId="0">
      <alignment wrapText="1"/>
    </xf>
    <xf numFmtId="0" fontId="0" fillId="0" borderId="0" applyAlignment="1" pivotButton="0" quotePrefix="0" xfId="0">
      <alignment wrapText="1"/>
    </xf>
    <xf numFmtId="0" fontId="10" fillId="0" borderId="0" pivotButton="0" quotePrefix="0" xfId="0"/>
    <xf numFmtId="0" fontId="0" fillId="21" borderId="2" pivotButton="0" quotePrefix="0" xfId="0"/>
    <xf numFmtId="2" fontId="11" fillId="22" borderId="0" pivotButton="0" quotePrefix="0" xfId="0"/>
    <xf numFmtId="0" fontId="6" fillId="0" borderId="0" applyAlignment="1" pivotButton="0" quotePrefix="0" xfId="0">
      <alignment horizontal="left" vertical="center"/>
    </xf>
    <xf numFmtId="0" fontId="12" fillId="2" borderId="0" applyAlignment="1" pivotButton="0" quotePrefix="0" xfId="0">
      <alignment horizontal="center" vertical="center"/>
    </xf>
    <xf numFmtId="0" fontId="2" fillId="23" borderId="0" applyAlignment="1" pivotButton="0" quotePrefix="0" xfId="0">
      <alignment horizontal="center" vertical="center"/>
    </xf>
    <xf numFmtId="0" fontId="13" fillId="23" borderId="0" applyAlignment="1" pivotButton="0" quotePrefix="0" xfId="0">
      <alignment horizontal="left" vertical="center" indent="1"/>
    </xf>
    <xf numFmtId="0" fontId="12" fillId="23" borderId="0" applyAlignment="1" pivotButton="0" quotePrefix="0" xfId="0">
      <alignment horizontal="center" vertical="center"/>
    </xf>
    <xf numFmtId="0" fontId="14" fillId="23" borderId="0" applyAlignment="1" pivotButton="0" quotePrefix="0" xfId="0">
      <alignment horizontal="left" vertical="center" wrapText="1" indent="1"/>
    </xf>
    <xf numFmtId="0" fontId="2" fillId="24" borderId="0" applyAlignment="1" pivotButton="0" quotePrefix="0" xfId="0">
      <alignment horizontal="center" vertical="center"/>
    </xf>
    <xf numFmtId="0" fontId="13" fillId="24" borderId="0" applyAlignment="1" pivotButton="0" quotePrefix="0" xfId="0">
      <alignment horizontal="left" vertical="center" indent="1"/>
    </xf>
    <xf numFmtId="0" fontId="12" fillId="24" borderId="0" applyAlignment="1" pivotButton="0" quotePrefix="0" xfId="0">
      <alignment horizontal="center" vertical="center"/>
    </xf>
    <xf numFmtId="0" fontId="14" fillId="24" borderId="0" applyAlignment="1" pivotButton="0" quotePrefix="0" xfId="0">
      <alignment horizontal="left" vertical="center" wrapText="1" indent="1"/>
    </xf>
    <xf numFmtId="0" fontId="2" fillId="25" borderId="0" applyAlignment="1" pivotButton="0" quotePrefix="0" xfId="0">
      <alignment horizontal="center" vertical="center"/>
    </xf>
    <xf numFmtId="0" fontId="13" fillId="25" borderId="0" applyAlignment="1" pivotButton="0" quotePrefix="0" xfId="0">
      <alignment horizontal="left" vertical="center" indent="1"/>
    </xf>
    <xf numFmtId="0" fontId="12" fillId="25" borderId="0" applyAlignment="1" pivotButton="0" quotePrefix="0" xfId="0">
      <alignment horizontal="center" vertical="center"/>
    </xf>
    <xf numFmtId="0" fontId="14" fillId="25" borderId="0" applyAlignment="1" pivotButton="0" quotePrefix="0" xfId="0">
      <alignment horizontal="left" vertical="center" wrapText="1" indent="1"/>
    </xf>
    <xf numFmtId="0" fontId="2" fillId="26" borderId="0" applyAlignment="1" pivotButton="0" quotePrefix="0" xfId="0">
      <alignment horizontal="center" vertical="center"/>
    </xf>
    <xf numFmtId="0" fontId="13" fillId="26" borderId="0" applyAlignment="1" pivotButton="0" quotePrefix="0" xfId="0">
      <alignment horizontal="left" vertical="center" indent="1"/>
    </xf>
    <xf numFmtId="0" fontId="12" fillId="26" borderId="0" applyAlignment="1" pivotButton="0" quotePrefix="0" xfId="0">
      <alignment horizontal="center" vertical="center"/>
    </xf>
    <xf numFmtId="0" fontId="14" fillId="26" borderId="0" applyAlignment="1" pivotButton="0" quotePrefix="0" xfId="0">
      <alignment horizontal="left" vertical="center" wrapText="1" indent="1"/>
    </xf>
    <xf numFmtId="0" fontId="2" fillId="27" borderId="0" applyAlignment="1" pivotButton="0" quotePrefix="0" xfId="0">
      <alignment horizontal="center" vertical="center"/>
    </xf>
    <xf numFmtId="0" fontId="13" fillId="27" borderId="0" applyAlignment="1" pivotButton="0" quotePrefix="0" xfId="0">
      <alignment horizontal="left" vertical="center" indent="1"/>
    </xf>
    <xf numFmtId="0" fontId="12" fillId="27" borderId="0" applyAlignment="1" pivotButton="0" quotePrefix="0" xfId="0">
      <alignment horizontal="center" vertical="center"/>
    </xf>
    <xf numFmtId="0" fontId="14" fillId="27" borderId="0" applyAlignment="1" pivotButton="0" quotePrefix="0" xfId="0">
      <alignment horizontal="left" vertical="center" wrapText="1" indent="1"/>
    </xf>
    <xf numFmtId="0" fontId="2" fillId="28" borderId="0" applyAlignment="1" pivotButton="0" quotePrefix="0" xfId="0">
      <alignment horizontal="center" vertical="center"/>
    </xf>
    <xf numFmtId="0" fontId="13" fillId="28" borderId="0" applyAlignment="1" pivotButton="0" quotePrefix="0" xfId="0">
      <alignment horizontal="left" vertical="center" indent="1"/>
    </xf>
    <xf numFmtId="0" fontId="12" fillId="28" borderId="0" applyAlignment="1" pivotButton="0" quotePrefix="0" xfId="0">
      <alignment horizontal="center" vertical="center"/>
    </xf>
    <xf numFmtId="0" fontId="14" fillId="28" borderId="0" applyAlignment="1" pivotButton="0" quotePrefix="0" xfId="0">
      <alignment horizontal="left" vertical="center" wrapText="1" indent="1"/>
    </xf>
    <xf numFmtId="0" fontId="2" fillId="29" borderId="0" applyAlignment="1" pivotButton="0" quotePrefix="0" xfId="0">
      <alignment horizontal="center" vertical="center"/>
    </xf>
    <xf numFmtId="0" fontId="13" fillId="29" borderId="0" applyAlignment="1" pivotButton="0" quotePrefix="0" xfId="0">
      <alignment horizontal="left" vertical="center" indent="1"/>
    </xf>
    <xf numFmtId="0" fontId="12" fillId="29" borderId="0" applyAlignment="1" pivotButton="0" quotePrefix="0" xfId="0">
      <alignment horizontal="center" vertical="center"/>
    </xf>
    <xf numFmtId="0" fontId="14" fillId="29" borderId="0" applyAlignment="1" pivotButton="0" quotePrefix="0" xfId="0">
      <alignment horizontal="left" vertical="center" wrapText="1" indent="1"/>
    </xf>
    <xf numFmtId="0" fontId="2" fillId="30" borderId="0" applyAlignment="1" pivotButton="0" quotePrefix="0" xfId="0">
      <alignment horizontal="center" vertical="center"/>
    </xf>
    <xf numFmtId="0" fontId="13" fillId="30" borderId="0" applyAlignment="1" pivotButton="0" quotePrefix="0" xfId="0">
      <alignment horizontal="left" vertical="center" indent="1"/>
    </xf>
    <xf numFmtId="0" fontId="12" fillId="30" borderId="0" applyAlignment="1" pivotButton="0" quotePrefix="0" xfId="0">
      <alignment horizontal="center" vertical="center"/>
    </xf>
    <xf numFmtId="0" fontId="14" fillId="30" borderId="0" applyAlignment="1" pivotButton="0" quotePrefix="0" xfId="0">
      <alignment horizontal="left" vertical="center" wrapText="1" indent="1"/>
    </xf>
    <xf numFmtId="0" fontId="2" fillId="31" borderId="0" applyAlignment="1" pivotButton="0" quotePrefix="0" xfId="0">
      <alignment horizontal="center" vertical="center"/>
    </xf>
    <xf numFmtId="0" fontId="13" fillId="31" borderId="0" applyAlignment="1" pivotButton="0" quotePrefix="0" xfId="0">
      <alignment horizontal="left" vertical="center" indent="1"/>
    </xf>
    <xf numFmtId="0" fontId="12" fillId="31" borderId="0" applyAlignment="1" pivotButton="0" quotePrefix="0" xfId="0">
      <alignment horizontal="center" vertical="center"/>
    </xf>
    <xf numFmtId="0" fontId="14" fillId="31" borderId="0" applyAlignment="1" pivotButton="0" quotePrefix="0" xfId="0">
      <alignment horizontal="left" vertical="center" wrapText="1" indent="1"/>
    </xf>
    <xf numFmtId="0" fontId="2" fillId="32" borderId="0" applyAlignment="1" pivotButton="0" quotePrefix="0" xfId="0">
      <alignment horizontal="center" vertical="center"/>
    </xf>
    <xf numFmtId="0" fontId="13" fillId="32" borderId="0" applyAlignment="1" pivotButton="0" quotePrefix="0" xfId="0">
      <alignment horizontal="left" vertical="center" indent="1"/>
    </xf>
    <xf numFmtId="0" fontId="12" fillId="32" borderId="0" applyAlignment="1" pivotButton="0" quotePrefix="0" xfId="0">
      <alignment horizontal="center" vertical="center"/>
    </xf>
    <xf numFmtId="0" fontId="14" fillId="32" borderId="0" applyAlignment="1" pivotButton="0" quotePrefix="0" xfId="0">
      <alignment horizontal="left" vertical="center" wrapText="1" indent="1"/>
    </xf>
    <xf numFmtId="0" fontId="2" fillId="33" borderId="0" applyAlignment="1" pivotButton="0" quotePrefix="0" xfId="0">
      <alignment horizontal="center" vertical="center"/>
    </xf>
    <xf numFmtId="0" fontId="13" fillId="33" borderId="0" applyAlignment="1" pivotButton="0" quotePrefix="0" xfId="0">
      <alignment horizontal="left" vertical="center" indent="1"/>
    </xf>
    <xf numFmtId="0" fontId="12" fillId="33" borderId="0" applyAlignment="1" pivotButton="0" quotePrefix="0" xfId="0">
      <alignment horizontal="center" vertical="center"/>
    </xf>
    <xf numFmtId="0" fontId="14" fillId="33" borderId="0" applyAlignment="1" pivotButton="0" quotePrefix="0" xfId="0">
      <alignment horizontal="left" vertical="center" wrapText="1" indent="1"/>
    </xf>
    <xf numFmtId="0" fontId="2" fillId="34" borderId="0" applyAlignment="1" pivotButton="0" quotePrefix="0" xfId="0">
      <alignment horizontal="center" vertical="center"/>
    </xf>
    <xf numFmtId="0" fontId="13" fillId="34" borderId="0" applyAlignment="1" pivotButton="0" quotePrefix="0" xfId="0">
      <alignment horizontal="left" vertical="center" indent="1"/>
    </xf>
    <xf numFmtId="0" fontId="12" fillId="34" borderId="0" applyAlignment="1" pivotButton="0" quotePrefix="0" xfId="0">
      <alignment horizontal="center" vertical="center"/>
    </xf>
    <xf numFmtId="0" fontId="14" fillId="34" borderId="0" applyAlignment="1" pivotButton="0" quotePrefix="0" xfId="0">
      <alignment horizontal="left" vertical="center" wrapText="1" indent="1"/>
    </xf>
    <xf numFmtId="0" fontId="6" fillId="0" borderId="0" applyAlignment="1" pivotButton="0" quotePrefix="0" xfId="0">
      <alignment vertical="top" wrapText="1"/>
    </xf>
    <xf numFmtId="0" fontId="15" fillId="0" borderId="0" applyAlignment="1" pivotButton="0" quotePrefix="0" xfId="0">
      <alignment vertical="top" wrapText="1"/>
    </xf>
    <xf numFmtId="0" fontId="10" fillId="0"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hidden="0"/>
  </cellStyles>
  <dxfs count="1">
    <dxf>
      <font>
        <strike val="1"/>
        <color rgb="009A9A9A"/>
      </font>
      <fill>
        <patternFill patternType="solid">
          <fgColor rgb="00ECEC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DraftBoardTable" displayName="DraftBoardTable" ref="A3:R331" headerRowCount="1">
  <autoFilter ref="A3:R331"/>
  <tableColumns count="18">
    <tableColumn id="1" name="DRAFTED?"/>
    <tableColumn id="2" name="GLOBAL RANK"/>
    <tableColumn id="3" name="TIER"/>
    <tableColumn id="4" name="TIER LEVEL"/>
    <tableColumn id="5" name="POS"/>
    <tableColumn id="6" name="POS ECR"/>
    <tableColumn id="7" name="POS TIER"/>
    <tableColumn id="8" name="PLAYER"/>
    <tableColumn id="9" name="TEAM"/>
    <tableColumn id="10" name="BYE"/>
    <tableColumn id="11" name="CY"/>
    <tableColumn id="12" name="EARLY SoS"/>
    <tableColumn id="13" name="SF / TEP"/>
    <tableColumn id="14" name="ADP"/>
    <tableColumn id="15" name="VALUE DELTA"/>
    <tableColumn id="16" name="GLOBAL VALUE"/>
    <tableColumn id="17" name="FLAG"/>
    <tableColumn id="18"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R331"/>
  <sheetViews>
    <sheetView workbookViewId="0">
      <pane ySplit="3" topLeftCell="A4" activePane="bottomLeft" state="frozen"/>
      <selection pane="bottomLeft" activeCell="A1" sqref="A1"/>
    </sheetView>
  </sheetViews>
  <sheetFormatPr baseColWidth="8" defaultRowHeight="15"/>
  <cols>
    <col width="11" customWidth="1" min="1" max="1"/>
    <col width="8" customWidth="1" min="2" max="2"/>
    <col width="6" customWidth="1" min="3" max="3"/>
    <col width="9" customWidth="1" min="4" max="4"/>
    <col width="6" customWidth="1" min="5" max="5"/>
    <col width="8" customWidth="1" min="6" max="6"/>
    <col width="8" customWidth="1" min="7" max="7"/>
    <col width="22" customWidth="1" min="8" max="8"/>
    <col width="7" customWidth="1" min="9" max="9"/>
    <col width="6" customWidth="1" min="10" max="10"/>
    <col width="6" customWidth="1" min="11" max="11"/>
    <col width="11" customWidth="1" min="12" max="12"/>
    <col width="22" customWidth="1" min="13" max="13"/>
    <col width="8" customWidth="1" min="14" max="14"/>
    <col width="11" customWidth="1" min="15" max="15"/>
    <col width="11" customWidth="1" min="16" max="16"/>
    <col width="11" customWidth="1" min="17" max="17"/>
    <col width="58" customWidth="1" min="18" max="18"/>
  </cols>
  <sheetData>
    <row r="1" ht="40" customHeight="1">
      <c r="A1" s="1" t="inlineStr">
        <is>
          <t>TIER GUIDE (tier composition, cliffs, live remaining counts, and Draft Pivot &amp; Action Rule per Global Tier) has moved to the Instructions tab -- open that tab for the always-visible reference. This sheet is just the player table below: a real, fully sortable/filterable Excel Table -- click any column's filter arrow to sort or filter by ADP, POS, PLAYER, GLOBAL VALUE, anything -- and the TIER LEVEL column keeps every player's tier visible regardless of how you've sorted.</t>
        </is>
      </c>
    </row>
    <row r="3" ht="28" customHeight="1">
      <c r="A3" s="2" t="inlineStr">
        <is>
          <t>DRAFTED?</t>
        </is>
      </c>
      <c r="B3" s="2" t="inlineStr">
        <is>
          <t>GLOBAL RANK</t>
        </is>
      </c>
      <c r="C3" s="2" t="inlineStr">
        <is>
          <t>TIER</t>
        </is>
      </c>
      <c r="D3" s="2" t="inlineStr">
        <is>
          <t>TIER LEVEL</t>
        </is>
      </c>
      <c r="E3" s="2" t="inlineStr">
        <is>
          <t>POS</t>
        </is>
      </c>
      <c r="F3" s="2" t="inlineStr">
        <is>
          <t>POS ECR</t>
        </is>
      </c>
      <c r="G3" s="2" t="inlineStr">
        <is>
          <t>POS TIER</t>
        </is>
      </c>
      <c r="H3" s="2" t="inlineStr">
        <is>
          <t>PLAYER</t>
        </is>
      </c>
      <c r="I3" s="2" t="inlineStr">
        <is>
          <t>TEAM</t>
        </is>
      </c>
      <c r="J3" s="2" t="inlineStr">
        <is>
          <t>BYE</t>
        </is>
      </c>
      <c r="K3" s="2" t="inlineStr">
        <is>
          <t>CY</t>
        </is>
      </c>
      <c r="L3" s="2" t="inlineStr">
        <is>
          <t>EARLY SoS</t>
        </is>
      </c>
      <c r="M3" s="2" t="inlineStr">
        <is>
          <t>SF / TEP</t>
        </is>
      </c>
      <c r="N3" s="2" t="inlineStr">
        <is>
          <t>ADP</t>
        </is>
      </c>
      <c r="O3" s="2" t="inlineStr">
        <is>
          <t>VALUE DELTA</t>
        </is>
      </c>
      <c r="P3" s="2" t="inlineStr">
        <is>
          <t>GLOBAL VALUE</t>
        </is>
      </c>
      <c r="Q3" s="2" t="inlineStr">
        <is>
          <t>FLAG</t>
        </is>
      </c>
      <c r="R3" s="2" t="inlineStr">
        <is>
          <t>NOTES</t>
        </is>
      </c>
    </row>
    <row r="4">
      <c r="A4" s="3" t="inlineStr"/>
      <c r="B4" s="3" t="n">
        <v>1</v>
      </c>
      <c r="C4" s="3" t="n">
        <v>1</v>
      </c>
      <c r="D4" s="3" t="inlineStr">
        <is>
          <t>Tier 1</t>
        </is>
      </c>
      <c r="E4" s="4" t="inlineStr">
        <is>
          <t>RB</t>
        </is>
      </c>
      <c r="F4" s="3" t="n">
        <v>1</v>
      </c>
      <c r="G4" s="3" t="n">
        <v>1</v>
      </c>
      <c r="H4" s="4" t="inlineStr">
        <is>
          <t>Jahmyr Gibbs</t>
        </is>
      </c>
      <c r="I4" s="4" t="inlineStr">
        <is>
          <t>DET</t>
        </is>
      </c>
      <c r="J4" s="3" t="n">
        <v>6</v>
      </c>
      <c r="K4" s="4" t="inlineStr"/>
      <c r="L4" s="5" t="inlineStr">
        <is>
          <t>Very Soft</t>
        </is>
      </c>
      <c r="M4" s="6" t="inlineStr">
        <is>
          <t>SF Overall #7</t>
        </is>
      </c>
      <c r="N4" s="3" t="n">
        <v>3.5</v>
      </c>
      <c r="O4" s="3" t="n">
        <v>2.5</v>
      </c>
      <c r="P4" s="3" t="n">
        <v>287.3</v>
      </c>
      <c r="Q4" s="7" t="inlineStr">
        <is>
          <t>STUD</t>
        </is>
      </c>
      <c r="R4" s="8" t="inlineStr">
        <is>
          <t>Top-of-market receiving-back profile; SF Overall #7. UPDATED 8/30: hamstring issue after signing his Aug extension pulled him from practice -- Campbell says 'on schedule' for the opener, confirm his practice status the morning of your draft</t>
        </is>
      </c>
    </row>
    <row r="5">
      <c r="A5" s="3" t="inlineStr"/>
      <c r="B5" s="3" t="n">
        <v>2</v>
      </c>
      <c r="C5" s="3" t="n">
        <v>1</v>
      </c>
      <c r="D5" s="3" t="inlineStr">
        <is>
          <t>Tier 1</t>
        </is>
      </c>
      <c r="E5" s="4" t="inlineStr">
        <is>
          <t>QB</t>
        </is>
      </c>
      <c r="F5" s="3" t="n">
        <v>1</v>
      </c>
      <c r="G5" s="3" t="n">
        <v>1</v>
      </c>
      <c r="H5" s="4" t="inlineStr">
        <is>
          <t>Josh Allen</t>
        </is>
      </c>
      <c r="I5" s="4" t="inlineStr">
        <is>
          <t>BUF</t>
        </is>
      </c>
      <c r="J5" s="3" t="n">
        <v>7</v>
      </c>
      <c r="K5" s="4" t="inlineStr"/>
      <c r="L5" s="9" t="inlineStr">
        <is>
          <t>Gauntlet</t>
        </is>
      </c>
      <c r="M5" s="6" t="inlineStr">
        <is>
          <t>Superflex Elite | SF Overall #1</t>
        </is>
      </c>
      <c r="N5" s="3" t="n">
        <v>4.8</v>
      </c>
      <c r="O5" s="3" t="n">
        <v>2.8</v>
      </c>
      <c r="P5" s="3" t="n">
        <v>260.9</v>
      </c>
      <c r="Q5" s="7" t="inlineStr">
        <is>
          <t>STUD</t>
        </is>
      </c>
      <c r="R5" s="8" t="inlineStr">
        <is>
          <t>Unanimous 2026 QB1; top-2 fantasy finish 5 straight years</t>
        </is>
      </c>
    </row>
    <row r="6">
      <c r="A6" s="3" t="inlineStr"/>
      <c r="B6" s="3" t="n">
        <v>3</v>
      </c>
      <c r="C6" s="3" t="n">
        <v>1</v>
      </c>
      <c r="D6" s="3" t="inlineStr">
        <is>
          <t>Tier 1</t>
        </is>
      </c>
      <c r="E6" s="4" t="inlineStr">
        <is>
          <t>WR</t>
        </is>
      </c>
      <c r="F6" s="3" t="n">
        <v>1</v>
      </c>
      <c r="G6" s="3" t="n">
        <v>1</v>
      </c>
      <c r="H6" s="4" t="inlineStr">
        <is>
          <t>Ja'Marr Chase</t>
        </is>
      </c>
      <c r="I6" s="4" t="inlineStr">
        <is>
          <t>CIN</t>
        </is>
      </c>
      <c r="J6" s="3" t="n">
        <v>6</v>
      </c>
      <c r="K6" s="4" t="inlineStr"/>
      <c r="L6" s="5" t="inlineStr">
        <is>
          <t>Very Soft</t>
        </is>
      </c>
      <c r="M6" s="6" t="inlineStr">
        <is>
          <t>SF Overall #9</t>
        </is>
      </c>
      <c r="N6" s="3" t="n">
        <v>6.1</v>
      </c>
      <c r="O6" s="3" t="n">
        <v>3.1</v>
      </c>
      <c r="P6" s="3" t="n">
        <v>242.3</v>
      </c>
      <c r="Q6" s="4" t="inlineStr"/>
      <c r="R6" s="8" t="inlineStr">
        <is>
          <t>ECR-ranked; no dedicated situational research yet -- verify news/depth chart closer to draft time.</t>
        </is>
      </c>
    </row>
    <row r="7">
      <c r="A7" s="3" t="inlineStr"/>
      <c r="B7" s="3" t="n">
        <v>4</v>
      </c>
      <c r="C7" s="3" t="n">
        <v>1</v>
      </c>
      <c r="D7" s="3" t="inlineStr">
        <is>
          <t>Tier 1</t>
        </is>
      </c>
      <c r="E7" s="4" t="inlineStr">
        <is>
          <t>TE</t>
        </is>
      </c>
      <c r="F7" s="3" t="n">
        <v>1</v>
      </c>
      <c r="G7" s="3" t="n">
        <v>1</v>
      </c>
      <c r="H7" s="4" t="inlineStr">
        <is>
          <t>Brock Bowers</t>
        </is>
      </c>
      <c r="I7" s="4" t="inlineStr">
        <is>
          <t>LV</t>
        </is>
      </c>
      <c r="J7" s="3" t="n">
        <v>13</v>
      </c>
      <c r="K7" s="4" t="inlineStr"/>
      <c r="L7" s="9" t="inlineStr">
        <is>
          <t>Gauntlet</t>
        </is>
      </c>
      <c r="M7" s="6" t="inlineStr">
        <is>
          <t>TEP Cheat Code</t>
        </is>
      </c>
      <c r="N7" s="3" t="n">
        <v>27.1</v>
      </c>
      <c r="O7" s="10" t="n">
        <v>23.1</v>
      </c>
      <c r="P7" s="3" t="n">
        <v>221</v>
      </c>
      <c r="Q7" s="7" t="inlineStr">
        <is>
          <t>STUD</t>
        </is>
      </c>
      <c r="R7" s="8" t="inlineStr">
        <is>
          <t>1.0 TE premium turns him into a WR1-scoring asset</t>
        </is>
      </c>
    </row>
    <row r="8">
      <c r="A8" s="3" t="inlineStr"/>
      <c r="B8" s="3" t="n">
        <v>5</v>
      </c>
      <c r="C8" s="3" t="n">
        <v>2</v>
      </c>
      <c r="D8" s="3" t="inlineStr">
        <is>
          <t>Tier 2</t>
        </is>
      </c>
      <c r="E8" s="4" t="inlineStr">
        <is>
          <t>QB</t>
        </is>
      </c>
      <c r="F8" s="3" t="n">
        <v>2</v>
      </c>
      <c r="G8" s="3" t="n">
        <v>1</v>
      </c>
      <c r="H8" s="4" t="inlineStr">
        <is>
          <t>Lamar Jackson</t>
        </is>
      </c>
      <c r="I8" s="4" t="inlineStr">
        <is>
          <t>BAL</t>
        </is>
      </c>
      <c r="J8" s="3" t="n">
        <v>13</v>
      </c>
      <c r="K8" s="4" t="inlineStr"/>
      <c r="L8" s="5" t="inlineStr">
        <is>
          <t>Very Soft</t>
        </is>
      </c>
      <c r="M8" s="6" t="inlineStr">
        <is>
          <t>Superflex Elite | SF Overall #2</t>
        </is>
      </c>
      <c r="N8" s="3" t="n">
        <v>8.9</v>
      </c>
      <c r="O8" s="3" t="n">
        <v>3.9</v>
      </c>
      <c r="P8" s="3" t="n">
        <v>189.7</v>
      </c>
      <c r="Q8" s="7" t="inlineStr">
        <is>
          <t>STUD</t>
        </is>
      </c>
      <c r="R8" s="8" t="inlineStr">
        <is>
          <t>Elite dual-threat despite a down 2025; SF Overall #2</t>
        </is>
      </c>
    </row>
    <row r="9">
      <c r="A9" s="3" t="inlineStr"/>
      <c r="B9" s="3" t="n">
        <v>6</v>
      </c>
      <c r="C9" s="3" t="n">
        <v>2</v>
      </c>
      <c r="D9" s="3" t="inlineStr">
        <is>
          <t>Tier 2</t>
        </is>
      </c>
      <c r="E9" s="4" t="inlineStr">
        <is>
          <t>RB</t>
        </is>
      </c>
      <c r="F9" s="3" t="n">
        <v>2</v>
      </c>
      <c r="G9" s="3" t="n">
        <v>1</v>
      </c>
      <c r="H9" s="4" t="inlineStr">
        <is>
          <t>Bijan Robinson</t>
        </is>
      </c>
      <c r="I9" s="4" t="inlineStr">
        <is>
          <t>ATL</t>
        </is>
      </c>
      <c r="J9" s="3" t="n">
        <v>11</v>
      </c>
      <c r="K9" s="4" t="inlineStr"/>
      <c r="L9" s="11" t="inlineStr">
        <is>
          <t>Neutral</t>
        </is>
      </c>
      <c r="M9" s="6" t="inlineStr">
        <is>
          <t>SF Overall #8</t>
        </is>
      </c>
      <c r="N9" s="3" t="n">
        <v>3.3</v>
      </c>
      <c r="O9" s="3" t="n">
        <v>-2.7</v>
      </c>
      <c r="P9" s="3" t="n">
        <v>175.4</v>
      </c>
      <c r="Q9" s="7" t="inlineStr">
        <is>
          <t>STUD</t>
        </is>
      </c>
      <c r="R9" s="8" t="inlineStr">
        <is>
          <t>Bell-cow touches plus real receiving work; SF Overall #8</t>
        </is>
      </c>
    </row>
    <row r="10">
      <c r="A10" s="3" t="inlineStr"/>
      <c r="B10" s="3" t="n">
        <v>7</v>
      </c>
      <c r="C10" s="3" t="n">
        <v>2</v>
      </c>
      <c r="D10" s="3" t="inlineStr">
        <is>
          <t>Tier 2</t>
        </is>
      </c>
      <c r="E10" s="4" t="inlineStr">
        <is>
          <t>WR</t>
        </is>
      </c>
      <c r="F10" s="3" t="n">
        <v>2</v>
      </c>
      <c r="G10" s="3" t="n">
        <v>1</v>
      </c>
      <c r="H10" s="4" t="inlineStr">
        <is>
          <t>Puka Nacua</t>
        </is>
      </c>
      <c r="I10" s="4" t="inlineStr">
        <is>
          <t>LAR</t>
        </is>
      </c>
      <c r="J10" s="3" t="n">
        <v>11</v>
      </c>
      <c r="K10" s="12" t="inlineStr">
        <is>
          <t>YES</t>
        </is>
      </c>
      <c r="L10" s="13" t="inlineStr">
        <is>
          <t>Tough</t>
        </is>
      </c>
      <c r="M10" s="6" t="inlineStr">
        <is>
          <t>SF Overall #11</t>
        </is>
      </c>
      <c r="N10" s="3" t="n">
        <v>7.3</v>
      </c>
      <c r="O10" s="3" t="n">
        <v>0.3</v>
      </c>
      <c r="P10" s="3" t="n">
        <v>152.3</v>
      </c>
      <c r="Q10" s="14" t="inlineStr">
        <is>
          <t>GAMBLE</t>
        </is>
      </c>
      <c r="R10" s="8" t="inlineStr">
        <is>
          <t>Contract year; active psoas injury since mid-Aug; SF Overall #11 despite the risk</t>
        </is>
      </c>
    </row>
    <row r="11">
      <c r="A11" s="3" t="inlineStr"/>
      <c r="B11" s="3" t="n">
        <v>8</v>
      </c>
      <c r="C11" s="3" t="n">
        <v>2</v>
      </c>
      <c r="D11" s="3" t="inlineStr">
        <is>
          <t>Tier 2</t>
        </is>
      </c>
      <c r="E11" s="4" t="inlineStr">
        <is>
          <t>QB</t>
        </is>
      </c>
      <c r="F11" s="3" t="n">
        <v>3</v>
      </c>
      <c r="G11" s="3" t="n">
        <v>2</v>
      </c>
      <c r="H11" s="4" t="inlineStr">
        <is>
          <t>Drake Maye</t>
        </is>
      </c>
      <c r="I11" s="4" t="inlineStr">
        <is>
          <t>NE</t>
        </is>
      </c>
      <c r="J11" s="3" t="n">
        <v>11</v>
      </c>
      <c r="K11" s="4" t="inlineStr"/>
      <c r="L11" s="11" t="inlineStr">
        <is>
          <t>Neutral</t>
        </is>
      </c>
      <c r="M11" s="6" t="inlineStr">
        <is>
          <t>Superflex Elite | SF Overall #3</t>
        </is>
      </c>
      <c r="N11" s="3" t="n">
        <v>14.4</v>
      </c>
      <c r="O11" s="15" t="n">
        <v>6.4</v>
      </c>
      <c r="P11" s="3" t="n">
        <v>138.1</v>
      </c>
      <c r="Q11" s="4" t="inlineStr"/>
      <c r="R11" s="8" t="inlineStr">
        <is>
          <t>Superflex 1st-round arm; SF Overall #3</t>
        </is>
      </c>
    </row>
    <row r="12">
      <c r="A12" s="3" t="inlineStr"/>
      <c r="B12" s="3" t="n">
        <v>9</v>
      </c>
      <c r="C12" s="3" t="n">
        <v>2</v>
      </c>
      <c r="D12" s="3" t="inlineStr">
        <is>
          <t>Tier 2</t>
        </is>
      </c>
      <c r="E12" s="4" t="inlineStr">
        <is>
          <t>TE</t>
        </is>
      </c>
      <c r="F12" s="3" t="n">
        <v>2</v>
      </c>
      <c r="G12" s="3" t="n">
        <v>1</v>
      </c>
      <c r="H12" s="4" t="inlineStr">
        <is>
          <t>Trey McBride</t>
        </is>
      </c>
      <c r="I12" s="4" t="inlineStr">
        <is>
          <t>ARI</t>
        </is>
      </c>
      <c r="J12" s="3" t="n">
        <v>14</v>
      </c>
      <c r="K12" s="4" t="inlineStr"/>
      <c r="L12" s="13" t="inlineStr">
        <is>
          <t>Tough</t>
        </is>
      </c>
      <c r="M12" s="6" t="inlineStr">
        <is>
          <t>TEP Cheat Code</t>
        </is>
      </c>
      <c r="N12" s="3" t="n">
        <v>31.6</v>
      </c>
      <c r="O12" s="10" t="n">
        <v>22.6</v>
      </c>
      <c r="P12" s="3" t="n">
        <v>128</v>
      </c>
      <c r="Q12" s="16" t="inlineStr">
        <is>
          <t>BUST</t>
        </is>
      </c>
      <c r="R12" s="8" t="inlineStr">
        <is>
          <t>2025 volume inflated by Arizona playing from behind all year; priced for a repeat</t>
        </is>
      </c>
    </row>
    <row r="13">
      <c r="A13" s="3" t="inlineStr"/>
      <c r="B13" s="3" t="n">
        <v>10</v>
      </c>
      <c r="C13" s="3" t="n">
        <v>2</v>
      </c>
      <c r="D13" s="3" t="inlineStr">
        <is>
          <t>Tier 2</t>
        </is>
      </c>
      <c r="E13" s="4" t="inlineStr">
        <is>
          <t>WR</t>
        </is>
      </c>
      <c r="F13" s="3" t="n">
        <v>3</v>
      </c>
      <c r="G13" s="3" t="n">
        <v>2</v>
      </c>
      <c r="H13" s="4" t="inlineStr">
        <is>
          <t>Jaxon Smith-Njigba</t>
        </is>
      </c>
      <c r="I13" s="4" t="inlineStr">
        <is>
          <t>SEA</t>
        </is>
      </c>
      <c r="J13" s="3" t="n">
        <v>11</v>
      </c>
      <c r="K13" s="4" t="inlineStr"/>
      <c r="L13" s="11" t="inlineStr">
        <is>
          <t>Neutral</t>
        </is>
      </c>
      <c r="M13" s="6" t="inlineStr">
        <is>
          <t>SF Overall #13</t>
        </is>
      </c>
      <c r="N13" s="3" t="n">
        <v>8.199999999999999</v>
      </c>
      <c r="O13" s="3" t="n">
        <v>-1.8</v>
      </c>
      <c r="P13" s="3" t="n">
        <v>123.9</v>
      </c>
      <c r="Q13" s="4" t="inlineStr"/>
      <c r="R13" s="8" t="inlineStr">
        <is>
          <t>ECR-ranked; no dedicated situational research yet -- verify news/depth chart closer to draft time.</t>
        </is>
      </c>
    </row>
    <row r="14">
      <c r="A14" s="3" t="inlineStr"/>
      <c r="B14" s="3" t="n">
        <v>11</v>
      </c>
      <c r="C14" s="3" t="n">
        <v>2</v>
      </c>
      <c r="D14" s="3" t="inlineStr">
        <is>
          <t>Tier 2</t>
        </is>
      </c>
      <c r="E14" s="4" t="inlineStr">
        <is>
          <t>RB</t>
        </is>
      </c>
      <c r="F14" s="3" t="n">
        <v>3</v>
      </c>
      <c r="G14" s="3" t="n">
        <v>2</v>
      </c>
      <c r="H14" s="4" t="inlineStr">
        <is>
          <t>Christian McCaffrey</t>
        </is>
      </c>
      <c r="I14" s="4" t="inlineStr">
        <is>
          <t>SF</t>
        </is>
      </c>
      <c r="J14" s="3" t="n">
        <v>8</v>
      </c>
      <c r="K14" s="4" t="inlineStr"/>
      <c r="L14" s="11" t="inlineStr">
        <is>
          <t>Neutral</t>
        </is>
      </c>
      <c r="M14" s="6" t="inlineStr">
        <is>
          <t>SF Overall #17</t>
        </is>
      </c>
      <c r="N14" s="3" t="n">
        <v>8.6</v>
      </c>
      <c r="O14" s="3" t="n">
        <v>-2.4</v>
      </c>
      <c r="P14" s="3" t="n">
        <v>115.6</v>
      </c>
      <c r="Q14" s="16" t="inlineStr">
        <is>
          <t>BUST</t>
        </is>
      </c>
      <c r="R14" s="8" t="inlineStr">
        <is>
          <t>Age 30; heavy-touch seasons have twice preceded serious injury years</t>
        </is>
      </c>
    </row>
    <row r="15">
      <c r="A15" s="3" t="inlineStr"/>
      <c r="B15" s="3" t="n">
        <v>12</v>
      </c>
      <c r="C15" s="3" t="n">
        <v>2</v>
      </c>
      <c r="D15" s="3" t="inlineStr">
        <is>
          <t>Tier 2</t>
        </is>
      </c>
      <c r="E15" s="4" t="inlineStr">
        <is>
          <t>QB</t>
        </is>
      </c>
      <c r="F15" s="3" t="n">
        <v>4</v>
      </c>
      <c r="G15" s="3" t="n">
        <v>2</v>
      </c>
      <c r="H15" s="4" t="inlineStr">
        <is>
          <t>Joe Burrow</t>
        </is>
      </c>
      <c r="I15" s="4" t="inlineStr">
        <is>
          <t>CIN</t>
        </is>
      </c>
      <c r="J15" s="3" t="n">
        <v>6</v>
      </c>
      <c r="K15" s="4" t="inlineStr"/>
      <c r="L15" s="5" t="inlineStr">
        <is>
          <t>Very Soft</t>
        </is>
      </c>
      <c r="M15" s="6" t="inlineStr">
        <is>
          <t>Superflex Elite | SF Overall #4</t>
        </is>
      </c>
      <c r="N15" s="3" t="n">
        <v>18.8</v>
      </c>
      <c r="O15" s="15" t="n">
        <v>6.8</v>
      </c>
      <c r="P15" s="3" t="n">
        <v>115.1</v>
      </c>
      <c r="Q15" s="4" t="inlineStr"/>
      <c r="R15" s="8" t="inlineStr">
        <is>
          <t>Superflex 1st-round arm talent; SF Overall #4</t>
        </is>
      </c>
    </row>
    <row r="16">
      <c r="A16" s="3" t="inlineStr"/>
      <c r="B16" s="3" t="n">
        <v>13</v>
      </c>
      <c r="C16" s="3" t="n">
        <v>2</v>
      </c>
      <c r="D16" s="3" t="inlineStr">
        <is>
          <t>Tier 2</t>
        </is>
      </c>
      <c r="E16" s="4" t="inlineStr">
        <is>
          <t>RB</t>
        </is>
      </c>
      <c r="F16" s="3" t="n">
        <v>4</v>
      </c>
      <c r="G16" s="3" t="n">
        <v>2</v>
      </c>
      <c r="H16" s="4" t="inlineStr">
        <is>
          <t>Jonathan Taylor</t>
        </is>
      </c>
      <c r="I16" s="4" t="inlineStr">
        <is>
          <t>IND</t>
        </is>
      </c>
      <c r="J16" s="3" t="n">
        <v>13</v>
      </c>
      <c r="K16" s="4" t="inlineStr"/>
      <c r="L16" s="13" t="inlineStr">
        <is>
          <t>Tough</t>
        </is>
      </c>
      <c r="M16" s="6" t="inlineStr">
        <is>
          <t>SF Overall #18</t>
        </is>
      </c>
      <c r="N16" s="3" t="n">
        <v>11.2</v>
      </c>
      <c r="O16" s="3" t="n">
        <v>-1.8</v>
      </c>
      <c r="P16" s="3" t="n">
        <v>100</v>
      </c>
      <c r="Q16" s="7" t="inlineStr">
        <is>
          <t>STUD</t>
        </is>
      </c>
      <c r="R16" s="8" t="inlineStr">
        <is>
          <t>Led the NFL in snap share (89%) in 2025; SF Overall #18</t>
        </is>
      </c>
    </row>
    <row r="17">
      <c r="A17" s="3" t="inlineStr"/>
      <c r="B17" s="3" t="n">
        <v>14</v>
      </c>
      <c r="C17" s="3" t="n">
        <v>2</v>
      </c>
      <c r="D17" s="3" t="inlineStr">
        <is>
          <t>Tier 2</t>
        </is>
      </c>
      <c r="E17" s="4" t="inlineStr">
        <is>
          <t>WR</t>
        </is>
      </c>
      <c r="F17" s="3" t="n">
        <v>4</v>
      </c>
      <c r="G17" s="3" t="n">
        <v>2</v>
      </c>
      <c r="H17" s="4" t="inlineStr">
        <is>
          <t>Amon-Ra St. Brown</t>
        </is>
      </c>
      <c r="I17" s="4" t="inlineStr">
        <is>
          <t>DET</t>
        </is>
      </c>
      <c r="J17" s="3" t="n">
        <v>6</v>
      </c>
      <c r="K17" s="4" t="inlineStr"/>
      <c r="L17" s="9" t="inlineStr">
        <is>
          <t>Gauntlet</t>
        </is>
      </c>
      <c r="M17" s="6" t="inlineStr">
        <is>
          <t>SF Overall #14</t>
        </is>
      </c>
      <c r="N17" s="3" t="n">
        <v>10.8</v>
      </c>
      <c r="O17" s="3" t="n">
        <v>-3.2</v>
      </c>
      <c r="P17" s="3" t="n">
        <v>97.3</v>
      </c>
      <c r="Q17" s="4" t="inlineStr"/>
      <c r="R17" s="8" t="inlineStr">
        <is>
          <t>ECR-ranked; no dedicated situational research yet -- verify news/depth chart closer to draft time.</t>
        </is>
      </c>
    </row>
    <row r="18">
      <c r="A18" s="3" t="inlineStr"/>
      <c r="B18" s="3" t="n">
        <v>15</v>
      </c>
      <c r="C18" s="3" t="n">
        <v>2</v>
      </c>
      <c r="D18" s="3" t="inlineStr">
        <is>
          <t>Tier 2</t>
        </is>
      </c>
      <c r="E18" s="4" t="inlineStr">
        <is>
          <t>QB</t>
        </is>
      </c>
      <c r="F18" s="3" t="n">
        <v>5</v>
      </c>
      <c r="G18" s="3" t="n">
        <v>3</v>
      </c>
      <c r="H18" s="4" t="inlineStr">
        <is>
          <t>Jayden Daniels</t>
        </is>
      </c>
      <c r="I18" s="4" t="inlineStr">
        <is>
          <t>WAS</t>
        </is>
      </c>
      <c r="J18" s="3" t="n">
        <v>7</v>
      </c>
      <c r="K18" s="4" t="inlineStr"/>
      <c r="L18" s="17" t="inlineStr">
        <is>
          <t>Soft</t>
        </is>
      </c>
      <c r="M18" s="6" t="inlineStr">
        <is>
          <t>Superflex Starter | SF Overall #5</t>
        </is>
      </c>
      <c r="N18" s="3" t="n">
        <v>23.2</v>
      </c>
      <c r="O18" s="15" t="n">
        <v>8.199999999999999</v>
      </c>
      <c r="P18" s="3" t="n">
        <v>94.7</v>
      </c>
      <c r="Q18" s="14" t="inlineStr">
        <is>
          <t>GAMBLE</t>
        </is>
      </c>
      <c r="R18" s="8" t="inlineStr">
        <is>
          <t>Missed 10 games in 2025; new under-center scheme; boom/bust</t>
        </is>
      </c>
    </row>
    <row r="19">
      <c r="A19" s="3" t="inlineStr"/>
      <c r="B19" s="3" t="n">
        <v>16</v>
      </c>
      <c r="C19" s="3" t="n">
        <v>2</v>
      </c>
      <c r="D19" s="3" t="inlineStr">
        <is>
          <t>Tier 2</t>
        </is>
      </c>
      <c r="E19" s="4" t="inlineStr">
        <is>
          <t>WR</t>
        </is>
      </c>
      <c r="F19" s="3" t="n">
        <v>5</v>
      </c>
      <c r="G19" s="3" t="n">
        <v>2</v>
      </c>
      <c r="H19" s="4" t="inlineStr">
        <is>
          <t>CeeDee Lamb</t>
        </is>
      </c>
      <c r="I19" s="4" t="inlineStr">
        <is>
          <t>DAL</t>
        </is>
      </c>
      <c r="J19" s="3" t="n">
        <v>14</v>
      </c>
      <c r="K19" s="4" t="inlineStr"/>
      <c r="L19" s="17" t="inlineStr">
        <is>
          <t>Soft</t>
        </is>
      </c>
      <c r="M19" s="6" t="inlineStr">
        <is>
          <t>SF Overall #20</t>
        </is>
      </c>
      <c r="N19" s="3" t="n">
        <v>15.3</v>
      </c>
      <c r="O19" s="3" t="n">
        <v>-0.7</v>
      </c>
      <c r="P19" s="3" t="n">
        <v>89.59999999999999</v>
      </c>
      <c r="Q19" s="7" t="inlineStr">
        <is>
          <t>STUD</t>
        </is>
      </c>
      <c r="R19" s="8" t="inlineStr">
        <is>
          <t>Safest true WR1 anchor; elite target volume</t>
        </is>
      </c>
    </row>
    <row r="20">
      <c r="A20" s="3" t="inlineStr"/>
      <c r="B20" s="3" t="n">
        <v>17</v>
      </c>
      <c r="C20" s="3" t="n">
        <v>2</v>
      </c>
      <c r="D20" s="3" t="inlineStr">
        <is>
          <t>Tier 2</t>
        </is>
      </c>
      <c r="E20" s="4" t="inlineStr">
        <is>
          <t>TE</t>
        </is>
      </c>
      <c r="F20" s="3" t="n">
        <v>3</v>
      </c>
      <c r="G20" s="3" t="n">
        <v>2</v>
      </c>
      <c r="H20" s="4" t="inlineStr">
        <is>
          <t>Colston Loveland</t>
        </is>
      </c>
      <c r="I20" s="4" t="inlineStr">
        <is>
          <t>CHI</t>
        </is>
      </c>
      <c r="J20" s="3" t="n">
        <v>10</v>
      </c>
      <c r="K20" s="4" t="inlineStr"/>
      <c r="L20" s="9" t="inlineStr">
        <is>
          <t>Gauntlet</t>
        </is>
      </c>
      <c r="M20" s="6" t="inlineStr">
        <is>
          <t>TEP Cheat Code</t>
        </is>
      </c>
      <c r="N20" s="3" t="n">
        <v>44.8</v>
      </c>
      <c r="O20" s="10" t="n">
        <v>27.8</v>
      </c>
      <c r="P20" s="3" t="n">
        <v>85.59999999999999</v>
      </c>
      <c r="Q20" s="4" t="inlineStr"/>
      <c r="R20" s="8" t="inlineStr">
        <is>
          <t>ECR-ranked; no dedicated situational research yet -- verify news/depth chart closer to draft time.</t>
        </is>
      </c>
    </row>
    <row r="21">
      <c r="A21" s="3" t="inlineStr"/>
      <c r="B21" s="3" t="n">
        <v>18</v>
      </c>
      <c r="C21" s="3" t="n">
        <v>2</v>
      </c>
      <c r="D21" s="3" t="inlineStr">
        <is>
          <t>Tier 2</t>
        </is>
      </c>
      <c r="E21" s="4" t="inlineStr">
        <is>
          <t>RB</t>
        </is>
      </c>
      <c r="F21" s="3" t="n">
        <v>5</v>
      </c>
      <c r="G21" s="3" t="n">
        <v>2</v>
      </c>
      <c r="H21" s="4" t="inlineStr">
        <is>
          <t>James Cook</t>
        </is>
      </c>
      <c r="I21" s="4" t="inlineStr">
        <is>
          <t>BUF</t>
        </is>
      </c>
      <c r="J21" s="3" t="n">
        <v>7</v>
      </c>
      <c r="K21" s="4" t="inlineStr"/>
      <c r="L21" s="9" t="inlineStr">
        <is>
          <t>Gauntlet</t>
        </is>
      </c>
      <c r="M21" s="6" t="inlineStr">
        <is>
          <t>SF Overall #19</t>
        </is>
      </c>
      <c r="N21" s="3" t="n">
        <v>13.3</v>
      </c>
      <c r="O21" s="3" t="n">
        <v>-4.7</v>
      </c>
      <c r="P21" s="3" t="n">
        <v>81.40000000000001</v>
      </c>
      <c r="Q21" s="18" t="inlineStr">
        <is>
          <t>FLOOR</t>
        </is>
      </c>
      <c r="R21" s="8" t="inlineStr">
        <is>
          <t>Steady early-down/receiving mix; SF Overall #19</t>
        </is>
      </c>
    </row>
    <row r="22">
      <c r="A22" s="3" t="inlineStr"/>
      <c r="B22" s="3" t="n">
        <v>19</v>
      </c>
      <c r="C22" s="3" t="n">
        <v>2</v>
      </c>
      <c r="D22" s="3" t="inlineStr">
        <is>
          <t>Tier 2</t>
        </is>
      </c>
      <c r="E22" s="4" t="inlineStr">
        <is>
          <t>QB</t>
        </is>
      </c>
      <c r="F22" s="3" t="n">
        <v>6</v>
      </c>
      <c r="G22" s="3" t="n">
        <v>3</v>
      </c>
      <c r="H22" s="4" t="inlineStr">
        <is>
          <t>Jalen Hurts</t>
        </is>
      </c>
      <c r="I22" s="4" t="inlineStr">
        <is>
          <t>PHI</t>
        </is>
      </c>
      <c r="J22" s="3" t="n">
        <v>10</v>
      </c>
      <c r="K22" s="4" t="inlineStr"/>
      <c r="L22" s="5" t="inlineStr">
        <is>
          <t>Very Soft</t>
        </is>
      </c>
      <c r="M22" s="6" t="inlineStr">
        <is>
          <t>Superflex Starter | SF Overall #6</t>
        </is>
      </c>
      <c r="N22" s="3" t="n">
        <v>25.1</v>
      </c>
      <c r="O22" s="15" t="n">
        <v>6.1</v>
      </c>
      <c r="P22" s="3" t="n">
        <v>80.5</v>
      </c>
      <c r="Q22" s="16" t="inlineStr">
        <is>
          <t>BUST</t>
        </is>
      </c>
      <c r="R22" s="8" t="inlineStr">
        <is>
          <t>Rushing attempts down 3 straight yrs; tush-push success rate 90%-&gt;60%</t>
        </is>
      </c>
    </row>
    <row r="23">
      <c r="A23" s="3" t="inlineStr"/>
      <c r="B23" s="3" t="n">
        <v>20</v>
      </c>
      <c r="C23" s="3" t="n">
        <v>2</v>
      </c>
      <c r="D23" s="3" t="inlineStr">
        <is>
          <t>Tier 2</t>
        </is>
      </c>
      <c r="E23" s="4" t="inlineStr">
        <is>
          <t>WR</t>
        </is>
      </c>
      <c r="F23" s="3" t="n">
        <v>6</v>
      </c>
      <c r="G23" s="3" t="n">
        <v>2</v>
      </c>
      <c r="H23" s="4" t="inlineStr">
        <is>
          <t>Justin Jefferson</t>
        </is>
      </c>
      <c r="I23" s="4" t="inlineStr">
        <is>
          <t>MIN</t>
        </is>
      </c>
      <c r="J23" s="3" t="n">
        <v>6</v>
      </c>
      <c r="K23" s="4" t="inlineStr"/>
      <c r="L23" s="17" t="inlineStr">
        <is>
          <t>Soft</t>
        </is>
      </c>
      <c r="M23" s="4" t="inlineStr"/>
      <c r="N23" s="3" t="n">
        <v>16.6</v>
      </c>
      <c r="O23" s="3" t="n">
        <v>-3.4</v>
      </c>
      <c r="P23" s="3" t="n">
        <v>77.59999999999999</v>
      </c>
      <c r="Q23" s="7" t="inlineStr">
        <is>
          <t>STUD</t>
        </is>
      </c>
      <c r="R23" s="8" t="inlineStr">
        <is>
          <t>2025 dip was QB-driven (McCarthy); Murray at QB is a real bounce-back thesis</t>
        </is>
      </c>
    </row>
    <row r="24">
      <c r="A24" s="3" t="inlineStr"/>
      <c r="B24" s="3" t="n">
        <v>21</v>
      </c>
      <c r="C24" s="3" t="n">
        <v>2</v>
      </c>
      <c r="D24" s="3" t="inlineStr">
        <is>
          <t>Tier 2</t>
        </is>
      </c>
      <c r="E24" s="4" t="inlineStr">
        <is>
          <t>RB</t>
        </is>
      </c>
      <c r="F24" s="3" t="n">
        <v>6</v>
      </c>
      <c r="G24" s="3" t="n">
        <v>2</v>
      </c>
      <c r="H24" s="4" t="inlineStr">
        <is>
          <t>Chase Brown</t>
        </is>
      </c>
      <c r="I24" s="4" t="inlineStr">
        <is>
          <t>CIN</t>
        </is>
      </c>
      <c r="J24" s="3" t="n">
        <v>6</v>
      </c>
      <c r="K24" s="12" t="inlineStr">
        <is>
          <t>YES</t>
        </is>
      </c>
      <c r="L24" s="9" t="inlineStr">
        <is>
          <t>Gauntlet</t>
        </is>
      </c>
      <c r="M24" s="4" t="inlineStr"/>
      <c r="N24" s="3" t="n">
        <v>22.1</v>
      </c>
      <c r="O24" s="3" t="n">
        <v>1.1</v>
      </c>
      <c r="P24" s="3" t="n">
        <v>72.2</v>
      </c>
      <c r="Q24" s="18" t="inlineStr">
        <is>
          <t>FLOOR</t>
        </is>
      </c>
      <c r="R24" s="8" t="inlineStr">
        <is>
          <t>Contract year; cited as the predictable alternative to a risky McCaffrey pick</t>
        </is>
      </c>
    </row>
    <row r="25">
      <c r="A25" s="3" t="inlineStr"/>
      <c r="B25" s="3" t="n">
        <v>22</v>
      </c>
      <c r="C25" s="3" t="n">
        <v>3</v>
      </c>
      <c r="D25" s="3" t="inlineStr">
        <is>
          <t>Tier 3</t>
        </is>
      </c>
      <c r="E25" s="4" t="inlineStr">
        <is>
          <t>TE</t>
        </is>
      </c>
      <c r="F25" s="3" t="n">
        <v>4</v>
      </c>
      <c r="G25" s="3" t="n">
        <v>2</v>
      </c>
      <c r="H25" s="4" t="inlineStr">
        <is>
          <t>Tyler Warren</t>
        </is>
      </c>
      <c r="I25" s="4" t="inlineStr">
        <is>
          <t>IND</t>
        </is>
      </c>
      <c r="J25" s="3" t="n">
        <v>13</v>
      </c>
      <c r="K25" s="4" t="inlineStr"/>
      <c r="L25" s="17" t="inlineStr">
        <is>
          <t>Soft</t>
        </is>
      </c>
      <c r="M25" s="6" t="inlineStr">
        <is>
          <t>TEP Cheat Code</t>
        </is>
      </c>
      <c r="N25" s="3" t="n">
        <v>58.7</v>
      </c>
      <c r="O25" s="10" t="n">
        <v>36.7</v>
      </c>
      <c r="P25" s="3" t="n">
        <v>66.5</v>
      </c>
      <c r="Q25" s="4" t="inlineStr"/>
      <c r="R25" s="8" t="inlineStr">
        <is>
          <t>ECR-ranked; no dedicated situational research yet -- verify news/depth chart closer to draft time.</t>
        </is>
      </c>
    </row>
    <row r="26">
      <c r="A26" s="3" t="inlineStr"/>
      <c r="B26" s="3" t="n">
        <v>23</v>
      </c>
      <c r="C26" s="3" t="n">
        <v>3</v>
      </c>
      <c r="D26" s="3" t="inlineStr">
        <is>
          <t>Tier 3</t>
        </is>
      </c>
      <c r="E26" s="4" t="inlineStr">
        <is>
          <t>WR</t>
        </is>
      </c>
      <c r="F26" s="3" t="n">
        <v>7</v>
      </c>
      <c r="G26" s="3" t="n">
        <v>2</v>
      </c>
      <c r="H26" s="4" t="inlineStr">
        <is>
          <t>A.J. Brown</t>
        </is>
      </c>
      <c r="I26" s="4" t="inlineStr">
        <is>
          <t>NE</t>
        </is>
      </c>
      <c r="J26" s="3" t="n">
        <v>11</v>
      </c>
      <c r="K26" s="4" t="inlineStr"/>
      <c r="L26" s="11" t="inlineStr">
        <is>
          <t>Neutral</t>
        </is>
      </c>
      <c r="M26" s="4" t="inlineStr"/>
      <c r="N26" s="3" t="n">
        <v>26</v>
      </c>
      <c r="O26" s="3" t="n">
        <v>3</v>
      </c>
      <c r="P26" s="3" t="n">
        <v>66.40000000000001</v>
      </c>
      <c r="Q26" s="4" t="inlineStr"/>
      <c r="R26" s="8" t="inlineStr">
        <is>
          <t>ECR-ranked; no dedicated situational research yet -- verify news/depth chart closer to draft time.</t>
        </is>
      </c>
    </row>
    <row r="27">
      <c r="A27" s="3" t="inlineStr"/>
      <c r="B27" s="3" t="n">
        <v>24</v>
      </c>
      <c r="C27" s="3" t="n">
        <v>3</v>
      </c>
      <c r="D27" s="3" t="inlineStr">
        <is>
          <t>Tier 3</t>
        </is>
      </c>
      <c r="E27" s="4" t="inlineStr">
        <is>
          <t>RB</t>
        </is>
      </c>
      <c r="F27" s="3" t="n">
        <v>7</v>
      </c>
      <c r="G27" s="3" t="n">
        <v>2</v>
      </c>
      <c r="H27" s="4" t="inlineStr">
        <is>
          <t>Saquon Barkley</t>
        </is>
      </c>
      <c r="I27" s="4" t="inlineStr">
        <is>
          <t>PHI</t>
        </is>
      </c>
      <c r="J27" s="3" t="n">
        <v>10</v>
      </c>
      <c r="K27" s="4" t="inlineStr"/>
      <c r="L27" s="5" t="inlineStr">
        <is>
          <t>Very Soft</t>
        </is>
      </c>
      <c r="M27" s="4" t="inlineStr"/>
      <c r="N27" s="3" t="n">
        <v>17.3</v>
      </c>
      <c r="O27" s="19" t="n">
        <v>-6.7</v>
      </c>
      <c r="P27" s="3" t="n">
        <v>64.40000000000001</v>
      </c>
      <c r="Q27" s="20" t="inlineStr">
        <is>
          <t>SLEEPER</t>
        </is>
      </c>
      <c r="R27" s="8" t="inlineStr">
        <is>
          <t>2025 dip looks like a blocking/scheme issue; new OC brings a livelier scheme</t>
        </is>
      </c>
    </row>
    <row r="28">
      <c r="A28" s="3" t="inlineStr"/>
      <c r="B28" s="3" t="n">
        <v>25</v>
      </c>
      <c r="C28" s="3" t="n">
        <v>3</v>
      </c>
      <c r="D28" s="3" t="inlineStr">
        <is>
          <t>Tier 3</t>
        </is>
      </c>
      <c r="E28" s="4" t="inlineStr">
        <is>
          <t>QB</t>
        </is>
      </c>
      <c r="F28" s="3" t="n">
        <v>7</v>
      </c>
      <c r="G28" s="3" t="n">
        <v>4</v>
      </c>
      <c r="H28" s="4" t="inlineStr">
        <is>
          <t>Caleb Williams</t>
        </is>
      </c>
      <c r="I28" s="4" t="inlineStr">
        <is>
          <t>CHI</t>
        </is>
      </c>
      <c r="J28" s="3" t="n">
        <v>10</v>
      </c>
      <c r="K28" s="4" t="inlineStr"/>
      <c r="L28" s="9" t="inlineStr">
        <is>
          <t>Gauntlet</t>
        </is>
      </c>
      <c r="M28" s="6" t="inlineStr">
        <is>
          <t>Superflex Starter | SF Overall #10</t>
        </is>
      </c>
      <c r="N28" s="3" t="n">
        <v>28</v>
      </c>
      <c r="O28" s="3" t="n">
        <v>3</v>
      </c>
      <c r="P28" s="3" t="n">
        <v>62.9</v>
      </c>
      <c r="Q28" s="4" t="inlineStr"/>
      <c r="R28" s="8" t="inlineStr">
        <is>
          <t>Superflex upside arm; SF Overall #10</t>
        </is>
      </c>
    </row>
    <row r="29">
      <c r="A29" s="3" t="inlineStr"/>
      <c r="B29" s="3" t="n">
        <v>26</v>
      </c>
      <c r="C29" s="3" t="n">
        <v>3</v>
      </c>
      <c r="D29" s="3" t="inlineStr">
        <is>
          <t>Tier 3</t>
        </is>
      </c>
      <c r="E29" s="4" t="inlineStr">
        <is>
          <t>WR</t>
        </is>
      </c>
      <c r="F29" s="3" t="n">
        <v>8</v>
      </c>
      <c r="G29" s="3" t="n">
        <v>2</v>
      </c>
      <c r="H29" s="4" t="inlineStr">
        <is>
          <t>Drake London</t>
        </is>
      </c>
      <c r="I29" s="4" t="inlineStr">
        <is>
          <t>ATL</t>
        </is>
      </c>
      <c r="J29" s="3" t="n">
        <v>11</v>
      </c>
      <c r="K29" s="4" t="inlineStr"/>
      <c r="L29" s="11" t="inlineStr">
        <is>
          <t>Neutral</t>
        </is>
      </c>
      <c r="M29" s="4" t="inlineStr"/>
      <c r="N29" s="3" t="n">
        <v>26.4</v>
      </c>
      <c r="O29" s="3" t="n">
        <v>0.4</v>
      </c>
      <c r="P29" s="3" t="n">
        <v>58.8</v>
      </c>
      <c r="Q29" s="4" t="inlineStr"/>
      <c r="R29" s="8" t="inlineStr">
        <is>
          <t>ECR-ranked; no dedicated situational research yet -- verify news/depth chart closer to draft time.</t>
        </is>
      </c>
    </row>
    <row r="30">
      <c r="A30" s="3" t="inlineStr"/>
      <c r="B30" s="3" t="n">
        <v>27</v>
      </c>
      <c r="C30" s="3" t="n">
        <v>3</v>
      </c>
      <c r="D30" s="3" t="inlineStr">
        <is>
          <t>Tier 3</t>
        </is>
      </c>
      <c r="E30" s="4" t="inlineStr">
        <is>
          <t>WR</t>
        </is>
      </c>
      <c r="F30" s="3" t="n">
        <v>9</v>
      </c>
      <c r="G30" s="3" t="n">
        <v>3</v>
      </c>
      <c r="H30" s="4" t="inlineStr">
        <is>
          <t>Nico Collins</t>
        </is>
      </c>
      <c r="I30" s="4" t="inlineStr">
        <is>
          <t>HOU</t>
        </is>
      </c>
      <c r="J30" s="3" t="n">
        <v>8</v>
      </c>
      <c r="K30" s="4" t="inlineStr"/>
      <c r="L30" s="5" t="inlineStr">
        <is>
          <t>Very Soft</t>
        </is>
      </c>
      <c r="M30" s="4" t="inlineStr"/>
      <c r="N30" s="3" t="n">
        <v>28.8</v>
      </c>
      <c r="O30" s="3" t="n">
        <v>1.8</v>
      </c>
      <c r="P30" s="3" t="n">
        <v>55.1</v>
      </c>
      <c r="Q30" s="4" t="inlineStr"/>
      <c r="R30" s="8" t="inlineStr">
        <is>
          <t>ECR-ranked; no dedicated situational research yet -- verify news/depth chart closer to draft time.</t>
        </is>
      </c>
    </row>
    <row r="31">
      <c r="A31" s="3" t="inlineStr"/>
      <c r="B31" s="3" t="n">
        <v>28</v>
      </c>
      <c r="C31" s="3" t="n">
        <v>3</v>
      </c>
      <c r="D31" s="3" t="inlineStr">
        <is>
          <t>Tier 3</t>
        </is>
      </c>
      <c r="E31" s="4" t="inlineStr">
        <is>
          <t>QB</t>
        </is>
      </c>
      <c r="F31" s="3" t="n">
        <v>8</v>
      </c>
      <c r="G31" s="3" t="n">
        <v>4</v>
      </c>
      <c r="H31" s="4" t="inlineStr">
        <is>
          <t>Justin Herbert</t>
        </is>
      </c>
      <c r="I31" s="4" t="inlineStr">
        <is>
          <t>LAC</t>
        </is>
      </c>
      <c r="J31" s="3" t="n">
        <v>7</v>
      </c>
      <c r="K31" s="4" t="inlineStr"/>
      <c r="L31" s="13" t="inlineStr">
        <is>
          <t>Tough</t>
        </is>
      </c>
      <c r="M31" s="6" t="inlineStr">
        <is>
          <t>Superflex Starter | SF Overall #12</t>
        </is>
      </c>
      <c r="N31" s="3" t="n">
        <v>35.9</v>
      </c>
      <c r="O31" s="15" t="n">
        <v>7.9</v>
      </c>
      <c r="P31" s="3" t="n">
        <v>53.9</v>
      </c>
      <c r="Q31" s="4" t="inlineStr"/>
      <c r="R31" s="8" t="inlineStr">
        <is>
          <t>New OC Mike McDaniel arrives in LAC</t>
        </is>
      </c>
    </row>
    <row r="32">
      <c r="A32" s="3" t="inlineStr"/>
      <c r="B32" s="3" t="n">
        <v>29</v>
      </c>
      <c r="C32" s="3" t="n">
        <v>3</v>
      </c>
      <c r="D32" s="3" t="inlineStr">
        <is>
          <t>Tier 3</t>
        </is>
      </c>
      <c r="E32" s="4" t="inlineStr">
        <is>
          <t>RB</t>
        </is>
      </c>
      <c r="F32" s="3" t="n">
        <v>8</v>
      </c>
      <c r="G32" s="3" t="n">
        <v>3</v>
      </c>
      <c r="H32" s="4" t="inlineStr">
        <is>
          <t>De'Von Achane</t>
        </is>
      </c>
      <c r="I32" s="4" t="inlineStr">
        <is>
          <t>MIA</t>
        </is>
      </c>
      <c r="J32" s="3" t="n">
        <v>6</v>
      </c>
      <c r="K32" s="4" t="inlineStr"/>
      <c r="L32" s="13" t="inlineStr">
        <is>
          <t>Tough</t>
        </is>
      </c>
      <c r="M32" s="4" t="inlineStr"/>
      <c r="N32" s="3" t="n">
        <v>20</v>
      </c>
      <c r="O32" s="19" t="n">
        <v>-9</v>
      </c>
      <c r="P32" s="3" t="n">
        <v>53.4</v>
      </c>
      <c r="Q32" s="4" t="inlineStr"/>
      <c r="R32" s="8" t="inlineStr">
        <is>
          <t>ECR-ranked; no dedicated situational research yet -- verify news/depth chart closer to draft time.</t>
        </is>
      </c>
    </row>
    <row r="33">
      <c r="A33" s="3" t="inlineStr"/>
      <c r="B33" s="3" t="n">
        <v>30</v>
      </c>
      <c r="C33" s="3" t="n">
        <v>3</v>
      </c>
      <c r="D33" s="3" t="inlineStr">
        <is>
          <t>Tier 3</t>
        </is>
      </c>
      <c r="E33" s="4" t="inlineStr">
        <is>
          <t>TE</t>
        </is>
      </c>
      <c r="F33" s="3" t="n">
        <v>5</v>
      </c>
      <c r="G33" s="3" t="n">
        <v>3</v>
      </c>
      <c r="H33" s="4" t="inlineStr">
        <is>
          <t>Tucker Kraft</t>
        </is>
      </c>
      <c r="I33" s="4" t="inlineStr">
        <is>
          <t>GB</t>
        </is>
      </c>
      <c r="J33" s="3" t="n">
        <v>11</v>
      </c>
      <c r="K33" s="12" t="inlineStr">
        <is>
          <t>YES</t>
        </is>
      </c>
      <c r="L33" s="13" t="inlineStr">
        <is>
          <t>Tough</t>
        </is>
      </c>
      <c r="M33" s="6" t="inlineStr">
        <is>
          <t>TEP Boost</t>
        </is>
      </c>
      <c r="N33" s="3" t="n">
        <v>77.5</v>
      </c>
      <c r="O33" s="10" t="n">
        <v>47.5</v>
      </c>
      <c r="P33" s="3" t="n">
        <v>52.1</v>
      </c>
      <c r="Q33" s="21" t="inlineStr">
        <is>
          <t>DEPTH</t>
        </is>
      </c>
      <c r="R33" s="8" t="inlineStr">
        <is>
          <t>Contract year; ascending real TE1 target</t>
        </is>
      </c>
    </row>
    <row r="34">
      <c r="A34" s="3" t="inlineStr"/>
      <c r="B34" s="3" t="n">
        <v>31</v>
      </c>
      <c r="C34" s="3" t="n">
        <v>3</v>
      </c>
      <c r="D34" s="3" t="inlineStr">
        <is>
          <t>Tier 3</t>
        </is>
      </c>
      <c r="E34" s="4" t="inlineStr">
        <is>
          <t>WR</t>
        </is>
      </c>
      <c r="F34" s="3" t="n">
        <v>10</v>
      </c>
      <c r="G34" s="3" t="n">
        <v>3</v>
      </c>
      <c r="H34" s="4" t="inlineStr">
        <is>
          <t>George Pickens</t>
        </is>
      </c>
      <c r="I34" s="4" t="inlineStr">
        <is>
          <t>DAL</t>
        </is>
      </c>
      <c r="J34" s="3" t="n">
        <v>14</v>
      </c>
      <c r="K34" s="12" t="inlineStr">
        <is>
          <t>YES</t>
        </is>
      </c>
      <c r="L34" s="17" t="inlineStr">
        <is>
          <t>Soft</t>
        </is>
      </c>
      <c r="M34" s="4" t="inlineStr"/>
      <c r="N34" s="3" t="n">
        <v>31.1</v>
      </c>
      <c r="O34" s="3" t="n">
        <v>0.1</v>
      </c>
      <c r="P34" s="3" t="n">
        <v>51.5</v>
      </c>
      <c r="Q34" s="21" t="inlineStr">
        <is>
          <t>DEPTH</t>
        </is>
      </c>
      <c r="R34" s="8" t="inlineStr">
        <is>
          <t>Contract year; real starter-caliber weapon in Dallas</t>
        </is>
      </c>
    </row>
    <row r="35">
      <c r="A35" s="3" t="inlineStr"/>
      <c r="B35" s="3" t="n">
        <v>32</v>
      </c>
      <c r="C35" s="3" t="n">
        <v>3</v>
      </c>
      <c r="D35" s="3" t="inlineStr">
        <is>
          <t>Tier 3</t>
        </is>
      </c>
      <c r="E35" s="4" t="inlineStr">
        <is>
          <t>RB</t>
        </is>
      </c>
      <c r="F35" s="3" t="n">
        <v>9</v>
      </c>
      <c r="G35" s="3" t="n">
        <v>3</v>
      </c>
      <c r="H35" s="4" t="inlineStr">
        <is>
          <t>Kenneth Walker III</t>
        </is>
      </c>
      <c r="I35" s="4" t="inlineStr">
        <is>
          <t>KC</t>
        </is>
      </c>
      <c r="J35" s="3" t="n">
        <v>5</v>
      </c>
      <c r="K35" s="4" t="inlineStr"/>
      <c r="L35" s="9" t="inlineStr">
        <is>
          <t>Gauntlet</t>
        </is>
      </c>
      <c r="M35" s="4" t="inlineStr"/>
      <c r="N35" s="3" t="n">
        <v>23.3</v>
      </c>
      <c r="O35" s="19" t="n">
        <v>-8.699999999999999</v>
      </c>
      <c r="P35" s="3" t="n">
        <v>46.1</v>
      </c>
      <c r="Q35" s="4" t="inlineStr"/>
      <c r="R35" s="8" t="inlineStr">
        <is>
          <t>ECR-ranked; no dedicated situational research yet -- verify news/depth chart closer to draft time.</t>
        </is>
      </c>
    </row>
    <row r="36">
      <c r="A36" s="3" t="inlineStr"/>
      <c r="B36" s="3" t="n">
        <v>33</v>
      </c>
      <c r="C36" s="3" t="n">
        <v>3</v>
      </c>
      <c r="D36" s="3" t="inlineStr">
        <is>
          <t>Tier 3</t>
        </is>
      </c>
      <c r="E36" s="4" t="inlineStr">
        <is>
          <t>QB</t>
        </is>
      </c>
      <c r="F36" s="3" t="n">
        <v>9</v>
      </c>
      <c r="G36" s="3" t="n">
        <v>5</v>
      </c>
      <c r="H36" s="4" t="inlineStr">
        <is>
          <t>Trevor Lawrence</t>
        </is>
      </c>
      <c r="I36" s="4" t="inlineStr">
        <is>
          <t>JAC</t>
        </is>
      </c>
      <c r="J36" s="3" t="n">
        <v>7</v>
      </c>
      <c r="K36" s="4" t="inlineStr"/>
      <c r="L36" s="9" t="inlineStr">
        <is>
          <t>Gauntlet</t>
        </is>
      </c>
      <c r="M36" s="6" t="inlineStr">
        <is>
          <t>Superflex Depth | SF Overall #16</t>
        </is>
      </c>
      <c r="N36" s="3" t="n">
        <v>42.1</v>
      </c>
      <c r="O36" s="15" t="n">
        <v>9.1</v>
      </c>
      <c r="P36" s="3" t="n">
        <v>45.9</v>
      </c>
      <c r="Q36" s="4" t="inlineStr"/>
      <c r="R36" s="8" t="inlineStr">
        <is>
          <t>UPDATED 8/30: fully healthy entering 2026 (Dec 2025 shoulder/AC-joint surgery is resolved), confirmed Week 1 starter per camp reports -- Superflex-relevant arm, needs weapons to step up</t>
        </is>
      </c>
    </row>
    <row r="37">
      <c r="A37" s="3" t="inlineStr"/>
      <c r="B37" s="3" t="n">
        <v>34</v>
      </c>
      <c r="C37" s="3" t="n">
        <v>3</v>
      </c>
      <c r="D37" s="3" t="inlineStr">
        <is>
          <t>Tier 3</t>
        </is>
      </c>
      <c r="E37" s="4" t="inlineStr">
        <is>
          <t>RB</t>
        </is>
      </c>
      <c r="F37" s="3" t="n">
        <v>10</v>
      </c>
      <c r="G37" s="3" t="n">
        <v>3</v>
      </c>
      <c r="H37" s="4" t="inlineStr">
        <is>
          <t>Omarion Hampton</t>
        </is>
      </c>
      <c r="I37" s="4" t="inlineStr">
        <is>
          <t>LAC</t>
        </is>
      </c>
      <c r="J37" s="3" t="n">
        <v>7</v>
      </c>
      <c r="K37" s="4" t="inlineStr"/>
      <c r="L37" s="11" t="inlineStr">
        <is>
          <t>Neutral</t>
        </is>
      </c>
      <c r="M37" s="4" t="inlineStr"/>
      <c r="N37" s="3" t="n">
        <v>25.1</v>
      </c>
      <c r="O37" s="19" t="n">
        <v>-8.9</v>
      </c>
      <c r="P37" s="3" t="n">
        <v>42.5</v>
      </c>
      <c r="Q37" s="4" t="inlineStr"/>
      <c r="R37" s="8" t="inlineStr">
        <is>
          <t>ECR-ranked; no dedicated situational research yet -- verify news/depth chart closer to draft time.</t>
        </is>
      </c>
    </row>
    <row r="38">
      <c r="A38" s="3" t="inlineStr"/>
      <c r="B38" s="3" t="n">
        <v>35</v>
      </c>
      <c r="C38" s="3" t="n">
        <v>3</v>
      </c>
      <c r="D38" s="3" t="inlineStr">
        <is>
          <t>Tier 3</t>
        </is>
      </c>
      <c r="E38" s="4" t="inlineStr">
        <is>
          <t>QB</t>
        </is>
      </c>
      <c r="F38" s="3" t="n">
        <v>10</v>
      </c>
      <c r="G38" s="3" t="n">
        <v>5</v>
      </c>
      <c r="H38" s="4" t="inlineStr">
        <is>
          <t>Dak Prescott</t>
        </is>
      </c>
      <c r="I38" s="4" t="inlineStr">
        <is>
          <t>DAL</t>
        </is>
      </c>
      <c r="J38" s="3" t="n">
        <v>14</v>
      </c>
      <c r="K38" s="4" t="inlineStr"/>
      <c r="L38" s="17" t="inlineStr">
        <is>
          <t>Soft</t>
        </is>
      </c>
      <c r="M38" s="6" t="inlineStr">
        <is>
          <t>Superflex Depth | SF Overall #15</t>
        </is>
      </c>
      <c r="N38" s="3" t="n">
        <v>38.9</v>
      </c>
      <c r="O38" s="3" t="n">
        <v>3.9</v>
      </c>
      <c r="P38" s="3" t="n">
        <v>41.5</v>
      </c>
      <c r="Q38" s="4" t="inlineStr"/>
      <c r="R38" s="8" t="inlineStr">
        <is>
          <t>Steady superflex QB1/2 floor</t>
        </is>
      </c>
    </row>
    <row r="39">
      <c r="A39" s="3" t="inlineStr"/>
      <c r="B39" s="3" t="n">
        <v>36</v>
      </c>
      <c r="C39" s="3" t="n">
        <v>3</v>
      </c>
      <c r="D39" s="3" t="inlineStr">
        <is>
          <t>Tier 3</t>
        </is>
      </c>
      <c r="E39" s="4" t="inlineStr">
        <is>
          <t>TE</t>
        </is>
      </c>
      <c r="F39" s="3" t="n">
        <v>6</v>
      </c>
      <c r="G39" s="3" t="n">
        <v>3</v>
      </c>
      <c r="H39" s="4" t="inlineStr">
        <is>
          <t>Harold Fannin</t>
        </is>
      </c>
      <c r="I39" s="4" t="inlineStr">
        <is>
          <t>CLE</t>
        </is>
      </c>
      <c r="J39" s="3" t="n">
        <v>11</v>
      </c>
      <c r="K39" s="4" t="inlineStr"/>
      <c r="L39" s="5" t="inlineStr">
        <is>
          <t>Very Soft</t>
        </is>
      </c>
      <c r="M39" s="6" t="inlineStr">
        <is>
          <t>TEP Boost</t>
        </is>
      </c>
      <c r="N39" s="3" t="n">
        <v>81.40000000000001</v>
      </c>
      <c r="O39" s="10" t="n">
        <v>45.4</v>
      </c>
      <c r="P39" s="3" t="n">
        <v>41</v>
      </c>
      <c r="Q39" s="16" t="inlineStr">
        <is>
          <t>BUST</t>
        </is>
      </c>
      <c r="R39" s="8" t="inlineStr">
        <is>
          <t>Benefited from Njoku's injury; new additions should restore balanced play-calling</t>
        </is>
      </c>
    </row>
    <row r="40">
      <c r="A40" s="3" t="inlineStr"/>
      <c r="B40" s="3" t="n">
        <v>37</v>
      </c>
      <c r="C40" s="3" t="n">
        <v>3</v>
      </c>
      <c r="D40" s="3" t="inlineStr">
        <is>
          <t>Tier 3</t>
        </is>
      </c>
      <c r="E40" s="4" t="inlineStr">
        <is>
          <t>WR</t>
        </is>
      </c>
      <c r="F40" s="3" t="n">
        <v>11</v>
      </c>
      <c r="G40" s="3" t="n">
        <v>3</v>
      </c>
      <c r="H40" s="4" t="inlineStr">
        <is>
          <t>Chris Olave</t>
        </is>
      </c>
      <c r="I40" s="4" t="inlineStr">
        <is>
          <t>NO</t>
        </is>
      </c>
      <c r="J40" s="3" t="n">
        <v>8</v>
      </c>
      <c r="K40" s="4" t="inlineStr"/>
      <c r="L40" s="17" t="inlineStr">
        <is>
          <t>Soft</t>
        </is>
      </c>
      <c r="M40" s="4" t="inlineStr"/>
      <c r="N40" s="3" t="n">
        <v>37.5</v>
      </c>
      <c r="O40" s="3" t="n">
        <v>0.5</v>
      </c>
      <c r="P40" s="3" t="n">
        <v>40.4</v>
      </c>
      <c r="Q40" s="14" t="inlineStr">
        <is>
          <t>GAMBLE</t>
        </is>
      </c>
      <c r="R40" s="8" t="inlineStr">
        <is>
          <t>NEW 8/30: well-documented multi-concussion history (his new contract even has a guarantee waiver for a career-ending concussion) -- had an Aug practice scare, reportedly fine, but recurrence risk is real</t>
        </is>
      </c>
    </row>
    <row r="41">
      <c r="A41" s="3" t="inlineStr"/>
      <c r="B41" s="3" t="n">
        <v>38</v>
      </c>
      <c r="C41" s="3" t="n">
        <v>3</v>
      </c>
      <c r="D41" s="3" t="inlineStr">
        <is>
          <t>Tier 3</t>
        </is>
      </c>
      <c r="E41" s="4" t="inlineStr">
        <is>
          <t>WR</t>
        </is>
      </c>
      <c r="F41" s="3" t="n">
        <v>12</v>
      </c>
      <c r="G41" s="3" t="n">
        <v>3</v>
      </c>
      <c r="H41" s="4" t="inlineStr">
        <is>
          <t>Malik Nabers</t>
        </is>
      </c>
      <c r="I41" s="4" t="inlineStr">
        <is>
          <t>NYG</t>
        </is>
      </c>
      <c r="J41" s="3" t="n">
        <v>8</v>
      </c>
      <c r="K41" s="4" t="inlineStr"/>
      <c r="L41" s="5" t="inlineStr">
        <is>
          <t>Very Soft</t>
        </is>
      </c>
      <c r="M41" s="4" t="inlineStr"/>
      <c r="N41" s="3" t="n">
        <v>35.5</v>
      </c>
      <c r="O41" s="3" t="n">
        <v>-2.5</v>
      </c>
      <c r="P41" s="3" t="n">
        <v>38.2</v>
      </c>
      <c r="Q41" s="14" t="inlineStr">
        <is>
          <t>GAMBLE</t>
        </is>
      </c>
      <c r="R41" s="8" t="inlineStr">
        <is>
          <t>Recovering well from a 2025 ACL tear, trending to a Wk1 return; price hasn't fully caught up</t>
        </is>
      </c>
    </row>
    <row r="42">
      <c r="A42" s="3" t="inlineStr"/>
      <c r="B42" s="3" t="n">
        <v>39</v>
      </c>
      <c r="C42" s="3" t="n">
        <v>3</v>
      </c>
      <c r="D42" s="3" t="inlineStr">
        <is>
          <t>Tier 3</t>
        </is>
      </c>
      <c r="E42" s="4" t="inlineStr">
        <is>
          <t>WR</t>
        </is>
      </c>
      <c r="F42" s="3" t="n">
        <v>13</v>
      </c>
      <c r="G42" s="3" t="n">
        <v>3</v>
      </c>
      <c r="H42" s="4" t="inlineStr">
        <is>
          <t>DeVonta Smith</t>
        </is>
      </c>
      <c r="I42" s="4" t="inlineStr">
        <is>
          <t>PHI</t>
        </is>
      </c>
      <c r="J42" s="3" t="n">
        <v>10</v>
      </c>
      <c r="K42" s="4" t="inlineStr"/>
      <c r="L42" s="5" t="inlineStr">
        <is>
          <t>Very Soft</t>
        </is>
      </c>
      <c r="M42" s="4" t="inlineStr"/>
      <c r="N42" s="3" t="n">
        <v>41.4</v>
      </c>
      <c r="O42" s="3" t="n">
        <v>2.4</v>
      </c>
      <c r="P42" s="3" t="n">
        <v>37</v>
      </c>
      <c r="Q42" s="18" t="inlineStr">
        <is>
          <t>FLOOR</t>
        </is>
      </c>
      <c r="R42" s="8" t="inlineStr">
        <is>
          <t>Steady target share in an efficient offense</t>
        </is>
      </c>
    </row>
    <row r="43">
      <c r="A43" s="3" t="inlineStr"/>
      <c r="B43" s="3" t="n">
        <v>40</v>
      </c>
      <c r="C43" s="3" t="n">
        <v>3</v>
      </c>
      <c r="D43" s="3" t="inlineStr">
        <is>
          <t>Tier 3</t>
        </is>
      </c>
      <c r="E43" s="4" t="inlineStr">
        <is>
          <t>RB</t>
        </is>
      </c>
      <c r="F43" s="3" t="n">
        <v>11</v>
      </c>
      <c r="G43" s="3" t="n">
        <v>3</v>
      </c>
      <c r="H43" s="4" t="inlineStr">
        <is>
          <t>Derrick Henry</t>
        </is>
      </c>
      <c r="I43" s="4" t="inlineStr">
        <is>
          <t>BAL</t>
        </is>
      </c>
      <c r="J43" s="3" t="n">
        <v>13</v>
      </c>
      <c r="K43" s="4" t="inlineStr"/>
      <c r="L43" s="13" t="inlineStr">
        <is>
          <t>Tough</t>
        </is>
      </c>
      <c r="M43" s="4" t="inlineStr"/>
      <c r="N43" s="3" t="n">
        <v>25.8</v>
      </c>
      <c r="O43" s="19" t="n">
        <v>-14.2</v>
      </c>
      <c r="P43" s="3" t="n">
        <v>37</v>
      </c>
      <c r="Q43" s="4" t="inlineStr"/>
      <c r="R43" s="8" t="inlineStr">
        <is>
          <t>ECR-ranked; no dedicated situational research yet -- verify news/depth chart closer to draft time.</t>
        </is>
      </c>
    </row>
    <row r="44">
      <c r="A44" s="3" t="inlineStr"/>
      <c r="B44" s="3" t="n">
        <v>41</v>
      </c>
      <c r="C44" s="3" t="n">
        <v>4</v>
      </c>
      <c r="D44" s="3" t="inlineStr">
        <is>
          <t>Tier 4</t>
        </is>
      </c>
      <c r="E44" s="4" t="inlineStr">
        <is>
          <t>QB</t>
        </is>
      </c>
      <c r="F44" s="3" t="n">
        <v>11</v>
      </c>
      <c r="G44" s="3" t="n">
        <v>6</v>
      </c>
      <c r="H44" s="4" t="inlineStr">
        <is>
          <t>Brock Purdy</t>
        </is>
      </c>
      <c r="I44" s="4" t="inlineStr">
        <is>
          <t>SF</t>
        </is>
      </c>
      <c r="J44" s="3" t="n">
        <v>8</v>
      </c>
      <c r="K44" s="4" t="inlineStr"/>
      <c r="L44" s="11" t="inlineStr">
        <is>
          <t>Neutral</t>
        </is>
      </c>
      <c r="M44" s="6" t="inlineStr">
        <is>
          <t>Superflex Depth</t>
        </is>
      </c>
      <c r="N44" s="3" t="n">
        <v>57.1</v>
      </c>
      <c r="O44" s="10" t="n">
        <v>16.1</v>
      </c>
      <c r="P44" s="3" t="n">
        <v>34.3</v>
      </c>
      <c r="Q44" s="4" t="inlineStr"/>
      <c r="R44" s="8" t="inlineStr">
        <is>
          <t>Efficient offense, Mike Evans now a weapon</t>
        </is>
      </c>
    </row>
    <row r="45">
      <c r="A45" s="3" t="inlineStr"/>
      <c r="B45" s="3" t="n">
        <v>42</v>
      </c>
      <c r="C45" s="3" t="n">
        <v>4</v>
      </c>
      <c r="D45" s="3" t="inlineStr">
        <is>
          <t>Tier 4</t>
        </is>
      </c>
      <c r="E45" s="4" t="inlineStr">
        <is>
          <t>RB</t>
        </is>
      </c>
      <c r="F45" s="3" t="n">
        <v>12</v>
      </c>
      <c r="G45" s="3" t="n">
        <v>3</v>
      </c>
      <c r="H45" s="4" t="inlineStr">
        <is>
          <t>Ashton Jeanty</t>
        </is>
      </c>
      <c r="I45" s="4" t="inlineStr">
        <is>
          <t>LV</t>
        </is>
      </c>
      <c r="J45" s="3" t="n">
        <v>13</v>
      </c>
      <c r="K45" s="4" t="inlineStr"/>
      <c r="L45" s="13" t="inlineStr">
        <is>
          <t>Tough</t>
        </is>
      </c>
      <c r="M45" s="4" t="inlineStr"/>
      <c r="N45" s="3" t="n">
        <v>25.7</v>
      </c>
      <c r="O45" s="22" t="n">
        <v>-16.3</v>
      </c>
      <c r="P45" s="3" t="n">
        <v>32.8</v>
      </c>
      <c r="Q45" s="4" t="inlineStr"/>
      <c r="R45" s="8" t="inlineStr">
        <is>
          <t>ECR-ranked; no dedicated situational research yet -- verify news/depth chart closer to draft time.</t>
        </is>
      </c>
    </row>
    <row r="46">
      <c r="A46" s="3" t="inlineStr"/>
      <c r="B46" s="3" t="n">
        <v>43</v>
      </c>
      <c r="C46" s="3" t="n">
        <v>4</v>
      </c>
      <c r="D46" s="3" t="inlineStr">
        <is>
          <t>Tier 4</t>
        </is>
      </c>
      <c r="E46" s="4" t="inlineStr">
        <is>
          <t>WR</t>
        </is>
      </c>
      <c r="F46" s="3" t="n">
        <v>14</v>
      </c>
      <c r="G46" s="3" t="n">
        <v>3</v>
      </c>
      <c r="H46" s="4" t="inlineStr">
        <is>
          <t>Rashee Rice</t>
        </is>
      </c>
      <c r="I46" s="4" t="inlineStr">
        <is>
          <t>KC</t>
        </is>
      </c>
      <c r="J46" s="3" t="n">
        <v>5</v>
      </c>
      <c r="K46" s="4" t="inlineStr"/>
      <c r="L46" s="11" t="inlineStr">
        <is>
          <t>Neutral</t>
        </is>
      </c>
      <c r="M46" s="4" t="inlineStr"/>
      <c r="N46" s="3" t="n">
        <v>40.8</v>
      </c>
      <c r="O46" s="3" t="n">
        <v>-2.2</v>
      </c>
      <c r="P46" s="3" t="n">
        <v>32.4</v>
      </c>
      <c r="Q46" s="14" t="inlineStr">
        <is>
          <t>GAMBLE</t>
        </is>
      </c>
      <c r="R46" s="8" t="inlineStr">
        <is>
          <t>Top-15 talent; real suspension/probation uncertainty</t>
        </is>
      </c>
    </row>
    <row r="47">
      <c r="A47" s="3" t="inlineStr"/>
      <c r="B47" s="3" t="n">
        <v>44</v>
      </c>
      <c r="C47" s="3" t="n">
        <v>4</v>
      </c>
      <c r="D47" s="3" t="inlineStr">
        <is>
          <t>Tier 4</t>
        </is>
      </c>
      <c r="E47" s="4" t="inlineStr">
        <is>
          <t>TE</t>
        </is>
      </c>
      <c r="F47" s="3" t="n">
        <v>7</v>
      </c>
      <c r="G47" s="3" t="n">
        <v>4</v>
      </c>
      <c r="H47" s="4" t="inlineStr">
        <is>
          <t>Sam LaPorta</t>
        </is>
      </c>
      <c r="I47" s="4" t="inlineStr">
        <is>
          <t>DET</t>
        </is>
      </c>
      <c r="J47" s="3" t="n">
        <v>6</v>
      </c>
      <c r="K47" s="12" t="inlineStr">
        <is>
          <t>YES</t>
        </is>
      </c>
      <c r="L47" s="9" t="inlineStr">
        <is>
          <t>Gauntlet</t>
        </is>
      </c>
      <c r="M47" s="6" t="inlineStr">
        <is>
          <t>TEP Boost</t>
        </is>
      </c>
      <c r="N47" s="3" t="n">
        <v>75.90000000000001</v>
      </c>
      <c r="O47" s="10" t="n">
        <v>31.9</v>
      </c>
      <c r="P47" s="3" t="n">
        <v>30.8</v>
      </c>
      <c r="Q47" s="21" t="inlineStr">
        <is>
          <t>DEPTH</t>
        </is>
      </c>
      <c r="R47" s="8" t="inlineStr">
        <is>
          <t>Contract year; real difference-making receiving TE1</t>
        </is>
      </c>
    </row>
    <row r="48">
      <c r="A48" s="3" t="inlineStr"/>
      <c r="B48" s="3" t="n">
        <v>45</v>
      </c>
      <c r="C48" s="3" t="n">
        <v>4</v>
      </c>
      <c r="D48" s="3" t="inlineStr">
        <is>
          <t>Tier 4</t>
        </is>
      </c>
      <c r="E48" s="4" t="inlineStr">
        <is>
          <t>WR</t>
        </is>
      </c>
      <c r="F48" s="3" t="n">
        <v>15</v>
      </c>
      <c r="G48" s="3" t="n">
        <v>4</v>
      </c>
      <c r="H48" s="4" t="inlineStr">
        <is>
          <t>Zay Flowers</t>
        </is>
      </c>
      <c r="I48" s="4" t="inlineStr">
        <is>
          <t>BAL</t>
        </is>
      </c>
      <c r="J48" s="3" t="n">
        <v>13</v>
      </c>
      <c r="K48" s="4" t="inlineStr"/>
      <c r="L48" s="5" t="inlineStr">
        <is>
          <t>Very Soft</t>
        </is>
      </c>
      <c r="M48" s="4" t="inlineStr"/>
      <c r="N48" s="3" t="n">
        <v>46.3</v>
      </c>
      <c r="O48" s="3" t="n">
        <v>1.3</v>
      </c>
      <c r="P48" s="3" t="n">
        <v>30.5</v>
      </c>
      <c r="Q48" s="18" t="inlineStr">
        <is>
          <t>FLOOR</t>
        </is>
      </c>
      <c r="R48" s="8" t="inlineStr">
        <is>
          <t>Efficient, high-floor value target</t>
        </is>
      </c>
    </row>
    <row r="49">
      <c r="A49" s="3" t="inlineStr"/>
      <c r="B49" s="3" t="n">
        <v>46</v>
      </c>
      <c r="C49" s="3" t="n">
        <v>4</v>
      </c>
      <c r="D49" s="3" t="inlineStr">
        <is>
          <t>Tier 4</t>
        </is>
      </c>
      <c r="E49" s="4" t="inlineStr">
        <is>
          <t>QB</t>
        </is>
      </c>
      <c r="F49" s="3" t="n">
        <v>12</v>
      </c>
      <c r="G49" s="3" t="n">
        <v>6</v>
      </c>
      <c r="H49" s="4" t="inlineStr">
        <is>
          <t>Jaxson Dart</t>
        </is>
      </c>
      <c r="I49" s="4" t="inlineStr">
        <is>
          <t>NYG</t>
        </is>
      </c>
      <c r="J49" s="3" t="n">
        <v>8</v>
      </c>
      <c r="K49" s="4" t="inlineStr"/>
      <c r="L49" s="5" t="inlineStr">
        <is>
          <t>Very Soft</t>
        </is>
      </c>
      <c r="M49" s="6" t="inlineStr">
        <is>
          <t>Superflex Depth</t>
        </is>
      </c>
      <c r="N49" s="3" t="n">
        <v>50.1</v>
      </c>
      <c r="O49" s="3" t="n">
        <v>4.1</v>
      </c>
      <c r="P49" s="3" t="n">
        <v>30.3</v>
      </c>
      <c r="Q49" s="16" t="inlineStr">
        <is>
          <t>BUST</t>
        </is>
      </c>
      <c r="R49" s="8" t="inlineStr">
        <is>
          <t>15 total TD in 12 rookie starts; new OC installing a different scheme</t>
        </is>
      </c>
    </row>
    <row r="50">
      <c r="A50" s="3" t="inlineStr"/>
      <c r="B50" s="3" t="n">
        <v>47</v>
      </c>
      <c r="C50" s="3" t="n">
        <v>4</v>
      </c>
      <c r="D50" s="3" t="inlineStr">
        <is>
          <t>Tier 4</t>
        </is>
      </c>
      <c r="E50" s="4" t="inlineStr">
        <is>
          <t>RB</t>
        </is>
      </c>
      <c r="F50" s="3" t="n">
        <v>13</v>
      </c>
      <c r="G50" s="3" t="n">
        <v>4</v>
      </c>
      <c r="H50" s="4" t="inlineStr">
        <is>
          <t>Kyren Williams</t>
        </is>
      </c>
      <c r="I50" s="4" t="inlineStr">
        <is>
          <t>LAR</t>
        </is>
      </c>
      <c r="J50" s="3" t="n">
        <v>11</v>
      </c>
      <c r="K50" s="4" t="inlineStr"/>
      <c r="L50" s="11" t="inlineStr">
        <is>
          <t>Neutral</t>
        </is>
      </c>
      <c r="M50" s="4" t="inlineStr"/>
      <c r="N50" s="3" t="n">
        <v>38.8</v>
      </c>
      <c r="O50" s="19" t="n">
        <v>-8.199999999999999</v>
      </c>
      <c r="P50" s="3" t="n">
        <v>29.6</v>
      </c>
      <c r="Q50" s="4" t="inlineStr"/>
      <c r="R50" s="8" t="inlineStr">
        <is>
          <t>ECR-ranked; no dedicated situational research yet -- verify news/depth chart closer to draft time.</t>
        </is>
      </c>
    </row>
    <row r="51">
      <c r="A51" s="3" t="inlineStr"/>
      <c r="B51" s="3" t="n">
        <v>48</v>
      </c>
      <c r="C51" s="3" t="n">
        <v>4</v>
      </c>
      <c r="D51" s="3" t="inlineStr">
        <is>
          <t>Tier 4</t>
        </is>
      </c>
      <c r="E51" s="4" t="inlineStr">
        <is>
          <t>RB</t>
        </is>
      </c>
      <c r="F51" s="3" t="n">
        <v>14</v>
      </c>
      <c r="G51" s="3" t="n">
        <v>4</v>
      </c>
      <c r="H51" s="4" t="inlineStr">
        <is>
          <t>Javonte Williams</t>
        </is>
      </c>
      <c r="I51" s="4" t="inlineStr">
        <is>
          <t>DAL</t>
        </is>
      </c>
      <c r="J51" s="3" t="n">
        <v>14</v>
      </c>
      <c r="K51" s="4" t="inlineStr"/>
      <c r="L51" s="17" t="inlineStr">
        <is>
          <t>Soft</t>
        </is>
      </c>
      <c r="M51" s="4" t="inlineStr"/>
      <c r="N51" s="3" t="n">
        <v>46.5</v>
      </c>
      <c r="O51" s="3" t="n">
        <v>-1.5</v>
      </c>
      <c r="P51" s="3" t="n">
        <v>26.9</v>
      </c>
      <c r="Q51" s="16" t="inlineStr">
        <is>
          <t>BUST</t>
        </is>
      </c>
      <c r="R51" s="8" t="inlineStr">
        <is>
          <t>Post-bye decline 5.2-&gt;4.3 YPC; bottom 12% in receiving yards per route run</t>
        </is>
      </c>
    </row>
    <row r="52">
      <c r="A52" s="3" t="inlineStr"/>
      <c r="B52" s="3" t="n">
        <v>49</v>
      </c>
      <c r="C52" s="3" t="n">
        <v>4</v>
      </c>
      <c r="D52" s="3" t="inlineStr">
        <is>
          <t>Tier 4</t>
        </is>
      </c>
      <c r="E52" s="4" t="inlineStr">
        <is>
          <t>WR</t>
        </is>
      </c>
      <c r="F52" s="3" t="n">
        <v>16</v>
      </c>
      <c r="G52" s="3" t="n">
        <v>4</v>
      </c>
      <c r="H52" s="4" t="inlineStr">
        <is>
          <t>Tee Higgins</t>
        </is>
      </c>
      <c r="I52" s="4" t="inlineStr">
        <is>
          <t>CIN</t>
        </is>
      </c>
      <c r="J52" s="3" t="n">
        <v>6</v>
      </c>
      <c r="K52" s="4" t="inlineStr"/>
      <c r="L52" s="5" t="inlineStr">
        <is>
          <t>Very Soft</t>
        </is>
      </c>
      <c r="M52" s="4" t="inlineStr"/>
      <c r="N52" s="3" t="n">
        <v>48</v>
      </c>
      <c r="O52" s="3" t="n">
        <v>-1</v>
      </c>
      <c r="P52" s="3" t="n">
        <v>24.8</v>
      </c>
      <c r="Q52" s="16" t="inlineStr">
        <is>
          <t>BUST</t>
        </is>
      </c>
      <c r="R52" s="8" t="inlineStr">
        <is>
          <t>Never topped 1,100 yards; missed 12 games over 3 yrs incl. 2 concussions in 2025</t>
        </is>
      </c>
    </row>
    <row r="53">
      <c r="A53" s="3" t="inlineStr"/>
      <c r="B53" s="3" t="n">
        <v>50</v>
      </c>
      <c r="C53" s="3" t="n">
        <v>4</v>
      </c>
      <c r="D53" s="3" t="inlineStr">
        <is>
          <t>Tier 4</t>
        </is>
      </c>
      <c r="E53" s="4" t="inlineStr">
        <is>
          <t>QB</t>
        </is>
      </c>
      <c r="F53" s="3" t="n">
        <v>13</v>
      </c>
      <c r="G53" s="3" t="n">
        <v>6</v>
      </c>
      <c r="H53" s="4" t="inlineStr">
        <is>
          <t>Bo Nix</t>
        </is>
      </c>
      <c r="I53" s="4" t="inlineStr">
        <is>
          <t>DEN</t>
        </is>
      </c>
      <c r="J53" s="3" t="n">
        <v>10</v>
      </c>
      <c r="K53" s="4" t="inlineStr"/>
      <c r="L53" s="17" t="inlineStr">
        <is>
          <t>Soft</t>
        </is>
      </c>
      <c r="M53" s="6" t="inlineStr">
        <is>
          <t>Superflex Depth</t>
        </is>
      </c>
      <c r="N53" s="3" t="n">
        <v>51.4</v>
      </c>
      <c r="O53" s="3" t="n">
        <v>1.4</v>
      </c>
      <c r="P53" s="3" t="n">
        <v>24.5</v>
      </c>
      <c r="Q53" s="4" t="inlineStr"/>
      <c r="R53" s="8" t="inlineStr">
        <is>
          <t>ECR-ranked; no dedicated situational research yet -- verify news/depth chart closer to draft time.</t>
        </is>
      </c>
    </row>
    <row r="54">
      <c r="A54" s="3" t="inlineStr"/>
      <c r="B54" s="3" t="n">
        <v>51</v>
      </c>
      <c r="C54" s="3" t="n">
        <v>4</v>
      </c>
      <c r="D54" s="3" t="inlineStr">
        <is>
          <t>Tier 4</t>
        </is>
      </c>
      <c r="E54" s="4" t="inlineStr">
        <is>
          <t>TE</t>
        </is>
      </c>
      <c r="F54" s="3" t="n">
        <v>8</v>
      </c>
      <c r="G54" s="3" t="n">
        <v>4</v>
      </c>
      <c r="H54" s="4" t="inlineStr">
        <is>
          <t>Kyle Pitts</t>
        </is>
      </c>
      <c r="I54" s="4" t="inlineStr">
        <is>
          <t>ATL</t>
        </is>
      </c>
      <c r="J54" s="3" t="n">
        <v>11</v>
      </c>
      <c r="K54" s="4" t="inlineStr"/>
      <c r="L54" s="11" t="inlineStr">
        <is>
          <t>Neutral</t>
        </is>
      </c>
      <c r="M54" s="6" t="inlineStr">
        <is>
          <t>TEP Boost</t>
        </is>
      </c>
      <c r="N54" s="3" t="n">
        <v>85.09999999999999</v>
      </c>
      <c r="O54" s="10" t="n">
        <v>34.1</v>
      </c>
      <c r="P54" s="3" t="n">
        <v>24.1</v>
      </c>
      <c r="Q54" s="16" t="inlineStr">
        <is>
          <t>BUST</t>
        </is>
      </c>
      <c r="R54" s="8" t="inlineStr">
        <is>
          <t>Averaged just 9.6 PPG in games Drake London also played</t>
        </is>
      </c>
    </row>
    <row r="55">
      <c r="A55" s="3" t="inlineStr"/>
      <c r="B55" s="3" t="n">
        <v>52</v>
      </c>
      <c r="C55" s="3" t="n">
        <v>4</v>
      </c>
      <c r="D55" s="3" t="inlineStr">
        <is>
          <t>Tier 4</t>
        </is>
      </c>
      <c r="E55" s="4" t="inlineStr">
        <is>
          <t>WR</t>
        </is>
      </c>
      <c r="F55" s="3" t="n">
        <v>17</v>
      </c>
      <c r="G55" s="3" t="n">
        <v>4</v>
      </c>
      <c r="H55" s="4" t="inlineStr">
        <is>
          <t>Ladd McConkey</t>
        </is>
      </c>
      <c r="I55" s="4" t="inlineStr">
        <is>
          <t>LAC</t>
        </is>
      </c>
      <c r="J55" s="3" t="n">
        <v>7</v>
      </c>
      <c r="K55" s="4" t="inlineStr"/>
      <c r="L55" s="13" t="inlineStr">
        <is>
          <t>Tough</t>
        </is>
      </c>
      <c r="M55" s="4" t="inlineStr"/>
      <c r="N55" s="3" t="n">
        <v>50.1</v>
      </c>
      <c r="O55" s="3" t="n">
        <v>-1.9</v>
      </c>
      <c r="P55" s="3" t="n">
        <v>23.4</v>
      </c>
      <c r="Q55" s="4" t="inlineStr"/>
      <c r="R55" s="8" t="inlineStr">
        <is>
          <t>ECR-ranked; no dedicated situational research yet -- verify news/depth chart closer to draft time.</t>
        </is>
      </c>
    </row>
    <row r="56">
      <c r="A56" s="3" t="inlineStr"/>
      <c r="B56" s="3" t="n">
        <v>53</v>
      </c>
      <c r="C56" s="3" t="n">
        <v>4</v>
      </c>
      <c r="D56" s="3" t="inlineStr">
        <is>
          <t>Tier 4</t>
        </is>
      </c>
      <c r="E56" s="4" t="inlineStr">
        <is>
          <t>RB</t>
        </is>
      </c>
      <c r="F56" s="3" t="n">
        <v>15</v>
      </c>
      <c r="G56" s="3" t="n">
        <v>4</v>
      </c>
      <c r="H56" s="4" t="inlineStr">
        <is>
          <t>Breece Hall</t>
        </is>
      </c>
      <c r="I56" s="4" t="inlineStr">
        <is>
          <t>NYJ</t>
        </is>
      </c>
      <c r="J56" s="3" t="n">
        <v>13</v>
      </c>
      <c r="K56" s="4" t="inlineStr"/>
      <c r="L56" s="17" t="inlineStr">
        <is>
          <t>Soft</t>
        </is>
      </c>
      <c r="M56" s="4" t="inlineStr"/>
      <c r="N56" s="3" t="n">
        <v>44.4</v>
      </c>
      <c r="O56" s="19" t="n">
        <v>-8.6</v>
      </c>
      <c r="P56" s="3" t="n">
        <v>22.9</v>
      </c>
      <c r="Q56" s="14" t="inlineStr">
        <is>
          <t>GAMBLE</t>
        </is>
      </c>
      <c r="R56" s="8" t="inlineStr">
        <is>
          <t>NEW 8/30: groin strain in Aug camp (out 8/17); team expects a Week 1 return but this is worth confirming the morning of your draft, not assuming</t>
        </is>
      </c>
    </row>
    <row r="57">
      <c r="A57" s="3" t="inlineStr"/>
      <c r="B57" s="3" t="n">
        <v>54</v>
      </c>
      <c r="C57" s="3" t="n">
        <v>4</v>
      </c>
      <c r="D57" s="3" t="inlineStr">
        <is>
          <t>Tier 4</t>
        </is>
      </c>
      <c r="E57" s="4" t="inlineStr">
        <is>
          <t>WR</t>
        </is>
      </c>
      <c r="F57" s="3" t="n">
        <v>18</v>
      </c>
      <c r="G57" s="3" t="n">
        <v>4</v>
      </c>
      <c r="H57" s="4" t="inlineStr">
        <is>
          <t>Tetairoa McMillan</t>
        </is>
      </c>
      <c r="I57" s="4" t="inlineStr">
        <is>
          <t>CAR</t>
        </is>
      </c>
      <c r="J57" s="3" t="n">
        <v>5</v>
      </c>
      <c r="K57" s="4" t="inlineStr"/>
      <c r="L57" s="13" t="inlineStr">
        <is>
          <t>Tough</t>
        </is>
      </c>
      <c r="M57" s="4" t="inlineStr"/>
      <c r="N57" s="3" t="n">
        <v>48.9</v>
      </c>
      <c r="O57" s="19" t="n">
        <v>-5.1</v>
      </c>
      <c r="P57" s="3" t="n">
        <v>21.6</v>
      </c>
      <c r="Q57" s="4" t="inlineStr"/>
      <c r="R57" s="8" t="inlineStr">
        <is>
          <t>ECR-ranked; no dedicated situational research yet -- verify news/depth chart closer to draft time.</t>
        </is>
      </c>
    </row>
    <row r="58">
      <c r="A58" s="3" t="inlineStr"/>
      <c r="B58" s="3" t="n">
        <v>55</v>
      </c>
      <c r="C58" s="3" t="n">
        <v>4</v>
      </c>
      <c r="D58" s="3" t="inlineStr">
        <is>
          <t>Tier 4</t>
        </is>
      </c>
      <c r="E58" s="4" t="inlineStr">
        <is>
          <t>RB</t>
        </is>
      </c>
      <c r="F58" s="3" t="n">
        <v>16</v>
      </c>
      <c r="G58" s="3" t="n">
        <v>4</v>
      </c>
      <c r="H58" s="4" t="inlineStr">
        <is>
          <t>Jeremiyah Love</t>
        </is>
      </c>
      <c r="I58" s="4" t="inlineStr">
        <is>
          <t>ARI</t>
        </is>
      </c>
      <c r="J58" s="3" t="n">
        <v>14</v>
      </c>
      <c r="K58" s="4" t="inlineStr"/>
      <c r="L58" s="13" t="inlineStr">
        <is>
          <t>Tough</t>
        </is>
      </c>
      <c r="M58" s="4" t="inlineStr"/>
      <c r="N58" s="3" t="n">
        <v>38</v>
      </c>
      <c r="O58" s="22" t="n">
        <v>-17</v>
      </c>
      <c r="P58" s="3" t="n">
        <v>20.4</v>
      </c>
      <c r="Q58" s="4" t="inlineStr"/>
      <c r="R58" s="8" t="inlineStr">
        <is>
          <t>ECR-ranked; no dedicated situational research yet -- verify news/depth chart closer to draft time.</t>
        </is>
      </c>
    </row>
    <row r="59">
      <c r="A59" s="3" t="inlineStr"/>
      <c r="B59" s="3" t="n">
        <v>56</v>
      </c>
      <c r="C59" s="3" t="n">
        <v>4</v>
      </c>
      <c r="D59" s="3" t="inlineStr">
        <is>
          <t>Tier 4</t>
        </is>
      </c>
      <c r="E59" s="4" t="inlineStr">
        <is>
          <t>WR</t>
        </is>
      </c>
      <c r="F59" s="3" t="n">
        <v>19</v>
      </c>
      <c r="G59" s="3" t="n">
        <v>4</v>
      </c>
      <c r="H59" s="4" t="inlineStr">
        <is>
          <t>Jaylen Waddle</t>
        </is>
      </c>
      <c r="I59" s="4" t="inlineStr">
        <is>
          <t>DEN</t>
        </is>
      </c>
      <c r="J59" s="3" t="n">
        <v>10</v>
      </c>
      <c r="K59" s="4" t="inlineStr"/>
      <c r="L59" s="17" t="inlineStr">
        <is>
          <t>Soft</t>
        </is>
      </c>
      <c r="M59" s="4" t="inlineStr"/>
      <c r="N59" s="3" t="n">
        <v>50.5</v>
      </c>
      <c r="O59" s="19" t="n">
        <v>-5.5</v>
      </c>
      <c r="P59" s="3" t="n">
        <v>20.2</v>
      </c>
      <c r="Q59" s="4" t="inlineStr"/>
      <c r="R59" s="8" t="inlineStr">
        <is>
          <t>NEW 8/30: traded from Miami to Denver this offseason -- treated as a value WR1-upside play in Bo Nix's offense, not a Dolphin any longer</t>
        </is>
      </c>
    </row>
    <row r="60">
      <c r="A60" s="3" t="inlineStr"/>
      <c r="B60" s="3" t="n">
        <v>57</v>
      </c>
      <c r="C60" s="3" t="n">
        <v>4</v>
      </c>
      <c r="D60" s="3" t="inlineStr">
        <is>
          <t>Tier 4</t>
        </is>
      </c>
      <c r="E60" s="4" t="inlineStr">
        <is>
          <t>QB</t>
        </is>
      </c>
      <c r="F60" s="3" t="n">
        <v>14</v>
      </c>
      <c r="G60" s="3" t="n">
        <v>6</v>
      </c>
      <c r="H60" s="4" t="inlineStr">
        <is>
          <t>Patrick Mahomes</t>
        </is>
      </c>
      <c r="I60" s="4" t="inlineStr">
        <is>
          <t>KC</t>
        </is>
      </c>
      <c r="J60" s="3" t="n">
        <v>5</v>
      </c>
      <c r="K60" s="4" t="inlineStr"/>
      <c r="L60" s="11" t="inlineStr">
        <is>
          <t>Neutral</t>
        </is>
      </c>
      <c r="M60" s="6" t="inlineStr">
        <is>
          <t>Superflex Depth</t>
        </is>
      </c>
      <c r="N60" s="3" t="n">
        <v>54.7</v>
      </c>
      <c r="O60" s="3" t="n">
        <v>-2.3</v>
      </c>
      <c r="P60" s="3" t="n">
        <v>19.1</v>
      </c>
      <c r="Q60" s="14" t="inlineStr">
        <is>
          <t>GAMBLE</t>
        </is>
      </c>
      <c r="R60" s="8" t="inlineStr">
        <is>
          <t>ACL-scare discount; buy-low if medicals check out</t>
        </is>
      </c>
    </row>
    <row r="61">
      <c r="A61" s="3" t="inlineStr"/>
      <c r="B61" s="3" t="n">
        <v>58</v>
      </c>
      <c r="C61" s="3" t="n">
        <v>4</v>
      </c>
      <c r="D61" s="3" t="inlineStr">
        <is>
          <t>Tier 4</t>
        </is>
      </c>
      <c r="E61" s="4" t="inlineStr">
        <is>
          <t>RB</t>
        </is>
      </c>
      <c r="F61" s="3" t="n">
        <v>17</v>
      </c>
      <c r="G61" s="3" t="n">
        <v>4</v>
      </c>
      <c r="H61" s="4" t="inlineStr">
        <is>
          <t>Josh Jacobs</t>
        </is>
      </c>
      <c r="I61" s="4" t="inlineStr">
        <is>
          <t>GB</t>
        </is>
      </c>
      <c r="J61" s="3" t="n">
        <v>11</v>
      </c>
      <c r="K61" s="4" t="inlineStr"/>
      <c r="L61" s="17" t="inlineStr">
        <is>
          <t>Soft</t>
        </is>
      </c>
      <c r="M61" s="4" t="inlineStr"/>
      <c r="N61" s="3" t="n">
        <v>49.7</v>
      </c>
      <c r="O61" s="19" t="n">
        <v>-8.300000000000001</v>
      </c>
      <c r="P61" s="3" t="n">
        <v>19.1</v>
      </c>
      <c r="Q61" s="4" t="inlineStr"/>
      <c r="R61" s="8" t="inlineStr">
        <is>
          <t>ECR-ranked; no dedicated situational research yet -- verify news/depth chart closer to draft time.</t>
        </is>
      </c>
    </row>
    <row r="62">
      <c r="A62" s="3" t="inlineStr"/>
      <c r="B62" s="3" t="n">
        <v>59</v>
      </c>
      <c r="C62" s="3" t="n">
        <v>4</v>
      </c>
      <c r="D62" s="3" t="inlineStr">
        <is>
          <t>Tier 4</t>
        </is>
      </c>
      <c r="E62" s="4" t="inlineStr">
        <is>
          <t>WR</t>
        </is>
      </c>
      <c r="F62" s="3" t="n">
        <v>20</v>
      </c>
      <c r="G62" s="3" t="n">
        <v>4</v>
      </c>
      <c r="H62" s="4" t="inlineStr">
        <is>
          <t>Garrett Wilson</t>
        </is>
      </c>
      <c r="I62" s="4" t="inlineStr">
        <is>
          <t>NYJ</t>
        </is>
      </c>
      <c r="J62" s="3" t="n">
        <v>13</v>
      </c>
      <c r="K62" s="4" t="inlineStr"/>
      <c r="L62" s="17" t="inlineStr">
        <is>
          <t>Soft</t>
        </is>
      </c>
      <c r="M62" s="4" t="inlineStr"/>
      <c r="N62" s="3" t="n">
        <v>54.2</v>
      </c>
      <c r="O62" s="3" t="n">
        <v>-4.8</v>
      </c>
      <c r="P62" s="3" t="n">
        <v>18.1</v>
      </c>
      <c r="Q62" s="4" t="inlineStr"/>
      <c r="R62" s="8" t="inlineStr">
        <is>
          <t>ECR-ranked; no dedicated situational research yet -- verify news/depth chart closer to draft time.</t>
        </is>
      </c>
    </row>
    <row r="63">
      <c r="A63" s="3" t="inlineStr"/>
      <c r="B63" s="3" t="n">
        <v>60</v>
      </c>
      <c r="C63" s="3" t="n">
        <v>4</v>
      </c>
      <c r="D63" s="3" t="inlineStr">
        <is>
          <t>Tier 4</t>
        </is>
      </c>
      <c r="E63" s="4" t="inlineStr">
        <is>
          <t>TE</t>
        </is>
      </c>
      <c r="F63" s="3" t="n">
        <v>9</v>
      </c>
      <c r="G63" s="3" t="n">
        <v>5</v>
      </c>
      <c r="H63" s="4" t="inlineStr">
        <is>
          <t>George Kittle</t>
        </is>
      </c>
      <c r="I63" s="4" t="inlineStr">
        <is>
          <t>SF</t>
        </is>
      </c>
      <c r="J63" s="3" t="n">
        <v>8</v>
      </c>
      <c r="K63" s="4" t="inlineStr"/>
      <c r="L63" s="11" t="inlineStr">
        <is>
          <t>Neutral</t>
        </is>
      </c>
      <c r="M63" s="4" t="inlineStr"/>
      <c r="N63" s="3" t="n">
        <v>100.7</v>
      </c>
      <c r="O63" s="10" t="n">
        <v>40.7</v>
      </c>
      <c r="P63" s="3" t="n">
        <v>17.1</v>
      </c>
      <c r="Q63" s="14" t="inlineStr">
        <is>
          <t>GAMBLE</t>
        </is>
      </c>
      <c r="R63" s="8" t="inlineStr">
        <is>
          <t>Torn Achilles in the 2025 finale but a fast-recovery location; priced below his TE3 talent level</t>
        </is>
      </c>
    </row>
    <row r="64">
      <c r="A64" s="3" t="inlineStr"/>
      <c r="B64" s="3" t="n">
        <v>61</v>
      </c>
      <c r="C64" s="3" t="n">
        <v>4</v>
      </c>
      <c r="D64" s="3" t="inlineStr">
        <is>
          <t>Tier 4</t>
        </is>
      </c>
      <c r="E64" s="4" t="inlineStr">
        <is>
          <t>RB</t>
        </is>
      </c>
      <c r="F64" s="3" t="n">
        <v>18</v>
      </c>
      <c r="G64" s="3" t="n">
        <v>5</v>
      </c>
      <c r="H64" s="4" t="inlineStr">
        <is>
          <t>Travis Etienne</t>
        </is>
      </c>
      <c r="I64" s="4" t="inlineStr">
        <is>
          <t>NO</t>
        </is>
      </c>
      <c r="J64" s="3" t="n">
        <v>8</v>
      </c>
      <c r="K64" s="4" t="inlineStr"/>
      <c r="L64" s="11" t="inlineStr">
        <is>
          <t>Neutral</t>
        </is>
      </c>
      <c r="M64" s="4" t="inlineStr"/>
      <c r="N64" s="3" t="n">
        <v>54.2</v>
      </c>
      <c r="O64" s="19" t="n">
        <v>-6.8</v>
      </c>
      <c r="P64" s="3" t="n">
        <v>16.4</v>
      </c>
      <c r="Q64" s="4" t="inlineStr"/>
      <c r="R64" s="8" t="inlineStr">
        <is>
          <t>ECR-ranked; no dedicated situational research yet -- verify news/depth chart closer to draft time.</t>
        </is>
      </c>
    </row>
    <row r="65">
      <c r="A65" s="3" t="inlineStr"/>
      <c r="B65" s="3" t="n">
        <v>62</v>
      </c>
      <c r="C65" s="3" t="n">
        <v>4</v>
      </c>
      <c r="D65" s="3" t="inlineStr">
        <is>
          <t>Tier 4</t>
        </is>
      </c>
      <c r="E65" s="4" t="inlineStr">
        <is>
          <t>WR</t>
        </is>
      </c>
      <c r="F65" s="3" t="n">
        <v>21</v>
      </c>
      <c r="G65" s="3" t="n">
        <v>5</v>
      </c>
      <c r="H65" s="4" t="inlineStr">
        <is>
          <t>Emeka Egbuka</t>
        </is>
      </c>
      <c r="I65" s="4" t="inlineStr">
        <is>
          <t>TB</t>
        </is>
      </c>
      <c r="J65" s="3" t="n">
        <v>10</v>
      </c>
      <c r="K65" s="4" t="inlineStr"/>
      <c r="L65" s="9" t="inlineStr">
        <is>
          <t>Gauntlet</t>
        </is>
      </c>
      <c r="M65" s="4" t="inlineStr"/>
      <c r="N65" s="3" t="n">
        <v>55.6</v>
      </c>
      <c r="O65" s="19" t="n">
        <v>-6.4</v>
      </c>
      <c r="P65" s="3" t="n">
        <v>15.4</v>
      </c>
      <c r="Q65" s="4" t="inlineStr"/>
      <c r="R65" s="8" t="inlineStr">
        <is>
          <t>ECR-ranked; no dedicated situational research yet -- verify news/depth chart closer to draft time.</t>
        </is>
      </c>
    </row>
    <row r="66">
      <c r="A66" s="3" t="inlineStr"/>
      <c r="B66" s="3" t="n">
        <v>63</v>
      </c>
      <c r="C66" s="3" t="n">
        <v>4</v>
      </c>
      <c r="D66" s="3" t="inlineStr">
        <is>
          <t>Tier 4</t>
        </is>
      </c>
      <c r="E66" s="4" t="inlineStr">
        <is>
          <t>QB</t>
        </is>
      </c>
      <c r="F66" s="3" t="n">
        <v>15</v>
      </c>
      <c r="G66" s="3" t="n">
        <v>6</v>
      </c>
      <c r="H66" s="4" t="inlineStr">
        <is>
          <t>Matthew Stafford</t>
        </is>
      </c>
      <c r="I66" s="4" t="inlineStr">
        <is>
          <t>LAR</t>
        </is>
      </c>
      <c r="J66" s="3" t="n">
        <v>11</v>
      </c>
      <c r="K66" s="4" t="inlineStr"/>
      <c r="L66" s="13" t="inlineStr">
        <is>
          <t>Tough</t>
        </is>
      </c>
      <c r="M66" s="6" t="inlineStr">
        <is>
          <t>Superflex Depth</t>
        </is>
      </c>
      <c r="N66" s="3" t="n">
        <v>58.7</v>
      </c>
      <c r="O66" s="3" t="n">
        <v>-4.3</v>
      </c>
      <c r="P66" s="3" t="n">
        <v>15.3</v>
      </c>
      <c r="Q66" s="4" t="inlineStr"/>
      <c r="R66" s="8" t="inlineStr">
        <is>
          <t>ECR-ranked; no dedicated situational research yet -- verify news/depth chart closer to draft time.</t>
        </is>
      </c>
    </row>
    <row r="67">
      <c r="A67" s="3" t="inlineStr"/>
      <c r="B67" s="3" t="n">
        <v>64</v>
      </c>
      <c r="C67" s="3" t="n">
        <v>4</v>
      </c>
      <c r="D67" s="3" t="inlineStr">
        <is>
          <t>Tier 4</t>
        </is>
      </c>
      <c r="E67" s="4" t="inlineStr">
        <is>
          <t>RB</t>
        </is>
      </c>
      <c r="F67" s="3" t="n">
        <v>19</v>
      </c>
      <c r="G67" s="3" t="n">
        <v>5</v>
      </c>
      <c r="H67" s="4" t="inlineStr">
        <is>
          <t>D'Andre Swift</t>
        </is>
      </c>
      <c r="I67" s="4" t="inlineStr">
        <is>
          <t>CHI</t>
        </is>
      </c>
      <c r="J67" s="3" t="n">
        <v>10</v>
      </c>
      <c r="K67" s="4" t="inlineStr"/>
      <c r="L67" s="5" t="inlineStr">
        <is>
          <t>Very Soft</t>
        </is>
      </c>
      <c r="M67" s="4" t="inlineStr"/>
      <c r="N67" s="3" t="n">
        <v>58.5</v>
      </c>
      <c r="O67" s="19" t="n">
        <v>-5.5</v>
      </c>
      <c r="P67" s="3" t="n">
        <v>15.2</v>
      </c>
      <c r="Q67" s="4" t="inlineStr"/>
      <c r="R67" s="8" t="inlineStr">
        <is>
          <t>ECR-ranked; no dedicated situational research yet -- verify news/depth chart closer to draft time.</t>
        </is>
      </c>
    </row>
    <row r="68">
      <c r="A68" s="3" t="inlineStr"/>
      <c r="B68" s="3" t="n">
        <v>65</v>
      </c>
      <c r="C68" s="3" t="n">
        <v>4</v>
      </c>
      <c r="D68" s="3" t="inlineStr">
        <is>
          <t>Tier 4</t>
        </is>
      </c>
      <c r="E68" s="4" t="inlineStr">
        <is>
          <t>WR</t>
        </is>
      </c>
      <c r="F68" s="3" t="n">
        <v>22</v>
      </c>
      <c r="G68" s="3" t="n">
        <v>5</v>
      </c>
      <c r="H68" s="4" t="inlineStr">
        <is>
          <t>Terry McLaurin</t>
        </is>
      </c>
      <c r="I68" s="4" t="inlineStr">
        <is>
          <t>WAS</t>
        </is>
      </c>
      <c r="J68" s="3" t="n">
        <v>7</v>
      </c>
      <c r="K68" s="4" t="inlineStr"/>
      <c r="L68" s="17" t="inlineStr">
        <is>
          <t>Soft</t>
        </is>
      </c>
      <c r="M68" s="4" t="inlineStr"/>
      <c r="N68" s="3" t="n">
        <v>64.5</v>
      </c>
      <c r="O68" s="3" t="n">
        <v>-0.5</v>
      </c>
      <c r="P68" s="3" t="n">
        <v>14.8</v>
      </c>
      <c r="Q68" s="4" t="inlineStr"/>
      <c r="R68" s="8" t="inlineStr">
        <is>
          <t>ECR-ranked; no dedicated situational research yet -- verify news/depth chart closer to draft time.</t>
        </is>
      </c>
    </row>
    <row r="69">
      <c r="A69" s="3" t="inlineStr"/>
      <c r="B69" s="3" t="n">
        <v>66</v>
      </c>
      <c r="C69" s="3" t="n">
        <v>4</v>
      </c>
      <c r="D69" s="3" t="inlineStr">
        <is>
          <t>Tier 4</t>
        </is>
      </c>
      <c r="E69" s="4" t="inlineStr">
        <is>
          <t>TE</t>
        </is>
      </c>
      <c r="F69" s="3" t="n">
        <v>10</v>
      </c>
      <c r="G69" s="3" t="n">
        <v>5</v>
      </c>
      <c r="H69" s="4" t="inlineStr">
        <is>
          <t>Travis Kelce</t>
        </is>
      </c>
      <c r="I69" s="4" t="inlineStr">
        <is>
          <t>KC</t>
        </is>
      </c>
      <c r="J69" s="3" t="n">
        <v>5</v>
      </c>
      <c r="K69" s="4" t="inlineStr"/>
      <c r="L69" s="11" t="inlineStr">
        <is>
          <t>Neutral</t>
        </is>
      </c>
      <c r="M69" s="4" t="inlineStr"/>
      <c r="N69" s="3" t="n">
        <v>100.9</v>
      </c>
      <c r="O69" s="10" t="n">
        <v>34.9</v>
      </c>
      <c r="P69" s="3" t="n">
        <v>14.6</v>
      </c>
      <c r="Q69" s="4" t="inlineStr"/>
      <c r="R69" s="8" t="inlineStr">
        <is>
          <t>ECR-ranked; no dedicated situational research yet -- verify news/depth chart closer to draft time.</t>
        </is>
      </c>
    </row>
    <row r="70">
      <c r="A70" s="3" t="inlineStr"/>
      <c r="B70" s="3" t="n">
        <v>67</v>
      </c>
      <c r="C70" s="3" t="n">
        <v>5</v>
      </c>
      <c r="D70" s="3" t="inlineStr">
        <is>
          <t>Tier 5</t>
        </is>
      </c>
      <c r="E70" s="4" t="inlineStr">
        <is>
          <t>RB</t>
        </is>
      </c>
      <c r="F70" s="3" t="n">
        <v>20</v>
      </c>
      <c r="G70" s="3" t="n">
        <v>5</v>
      </c>
      <c r="H70" s="4" t="inlineStr">
        <is>
          <t>Cam Skattebo</t>
        </is>
      </c>
      <c r="I70" s="4" t="inlineStr">
        <is>
          <t>NYG</t>
        </is>
      </c>
      <c r="J70" s="3" t="n">
        <v>8</v>
      </c>
      <c r="K70" s="4" t="inlineStr"/>
      <c r="L70" s="17" t="inlineStr">
        <is>
          <t>Soft</t>
        </is>
      </c>
      <c r="M70" s="4" t="inlineStr"/>
      <c r="N70" s="3" t="n">
        <v>57.7</v>
      </c>
      <c r="O70" s="19" t="n">
        <v>-9.300000000000001</v>
      </c>
      <c r="P70" s="3" t="n">
        <v>12.9</v>
      </c>
      <c r="Q70" s="4" t="inlineStr"/>
      <c r="R70" s="8" t="inlineStr">
        <is>
          <t>ECR-ranked; no dedicated situational research yet -- verify news/depth chart closer to draft time.</t>
        </is>
      </c>
    </row>
    <row r="71">
      <c r="A71" s="3" t="inlineStr"/>
      <c r="B71" s="3" t="n">
        <v>68</v>
      </c>
      <c r="C71" s="3" t="n">
        <v>5</v>
      </c>
      <c r="D71" s="3" t="inlineStr">
        <is>
          <t>Tier 5</t>
        </is>
      </c>
      <c r="E71" s="4" t="inlineStr">
        <is>
          <t>WR</t>
        </is>
      </c>
      <c r="F71" s="3" t="n">
        <v>23</v>
      </c>
      <c r="G71" s="3" t="n">
        <v>5</v>
      </c>
      <c r="H71" s="4" t="inlineStr">
        <is>
          <t>Davante Adams</t>
        </is>
      </c>
      <c r="I71" s="4" t="inlineStr">
        <is>
          <t>LAR</t>
        </is>
      </c>
      <c r="J71" s="3" t="n">
        <v>11</v>
      </c>
      <c r="K71" s="12" t="inlineStr">
        <is>
          <t>YES</t>
        </is>
      </c>
      <c r="L71" s="13" t="inlineStr">
        <is>
          <t>Tough</t>
        </is>
      </c>
      <c r="M71" s="4" t="inlineStr"/>
      <c r="N71" s="3" t="n">
        <v>67.8</v>
      </c>
      <c r="O71" s="3" t="n">
        <v>-0.2</v>
      </c>
      <c r="P71" s="3" t="n">
        <v>12.1</v>
      </c>
      <c r="Q71" s="16" t="inlineStr">
        <is>
          <t>BUST</t>
        </is>
      </c>
      <c r="R71" s="8" t="inlineStr">
        <is>
          <t>Contract year; turns 34 in Dec, snaps already shrinking pre-injury</t>
        </is>
      </c>
    </row>
    <row r="72">
      <c r="A72" s="3" t="inlineStr"/>
      <c r="B72" s="3" t="n">
        <v>69</v>
      </c>
      <c r="C72" s="3" t="n">
        <v>5</v>
      </c>
      <c r="D72" s="3" t="inlineStr">
        <is>
          <t>Tier 5</t>
        </is>
      </c>
      <c r="E72" s="4" t="inlineStr">
        <is>
          <t>QB</t>
        </is>
      </c>
      <c r="F72" s="3" t="n">
        <v>16</v>
      </c>
      <c r="G72" s="3" t="n">
        <v>6</v>
      </c>
      <c r="H72" s="4" t="inlineStr">
        <is>
          <t>Jared Goff</t>
        </is>
      </c>
      <c r="I72" s="4" t="inlineStr">
        <is>
          <t>DET</t>
        </is>
      </c>
      <c r="J72" s="3" t="n">
        <v>6</v>
      </c>
      <c r="K72" s="4" t="inlineStr"/>
      <c r="L72" s="9" t="inlineStr">
        <is>
          <t>Gauntlet</t>
        </is>
      </c>
      <c r="M72" s="6" t="inlineStr">
        <is>
          <t>Superflex Depth</t>
        </is>
      </c>
      <c r="N72" s="3" t="n">
        <v>64.5</v>
      </c>
      <c r="O72" s="3" t="n">
        <v>-4.5</v>
      </c>
      <c r="P72" s="3" t="n">
        <v>11.4</v>
      </c>
      <c r="Q72" s="18" t="inlineStr">
        <is>
          <t>FLOOR</t>
        </is>
      </c>
      <c r="R72" s="8" t="inlineStr">
        <is>
          <t>4 straight 4,400+ yd seasons; historically underrated in ADP</t>
        </is>
      </c>
    </row>
    <row r="73">
      <c r="A73" s="3" t="inlineStr"/>
      <c r="B73" s="3" t="n">
        <v>70</v>
      </c>
      <c r="C73" s="3" t="n">
        <v>5</v>
      </c>
      <c r="D73" s="3" t="inlineStr">
        <is>
          <t>Tier 5</t>
        </is>
      </c>
      <c r="E73" s="4" t="inlineStr">
        <is>
          <t>RB</t>
        </is>
      </c>
      <c r="F73" s="3" t="n">
        <v>21</v>
      </c>
      <c r="G73" s="3" t="n">
        <v>5</v>
      </c>
      <c r="H73" s="4" t="inlineStr">
        <is>
          <t>Bucky Irving</t>
        </is>
      </c>
      <c r="I73" s="4" t="inlineStr">
        <is>
          <t>TB</t>
        </is>
      </c>
      <c r="J73" s="3" t="n">
        <v>10</v>
      </c>
      <c r="K73" s="4" t="inlineStr"/>
      <c r="L73" s="5" t="inlineStr">
        <is>
          <t>Very Soft</t>
        </is>
      </c>
      <c r="M73" s="4" t="inlineStr"/>
      <c r="N73" s="3" t="n">
        <v>61.7</v>
      </c>
      <c r="O73" s="19" t="n">
        <v>-8.300000000000001</v>
      </c>
      <c r="P73" s="3" t="n">
        <v>11.4</v>
      </c>
      <c r="Q73" s="18" t="inlineStr">
        <is>
          <t>FLOOR</t>
        </is>
      </c>
      <c r="R73" s="8" t="inlineStr">
        <is>
          <t>UPDATED 8/30: fully cleared from offseason shoulder surgery, 'full-go' and 'unquestioned starter from Day One' per camp reports -- White is gone (now Washington), no more committee threat</t>
        </is>
      </c>
    </row>
    <row r="74">
      <c r="A74" s="3" t="inlineStr"/>
      <c r="B74" s="3" t="n">
        <v>71</v>
      </c>
      <c r="C74" s="3" t="n">
        <v>5</v>
      </c>
      <c r="D74" s="3" t="inlineStr">
        <is>
          <t>Tier 5</t>
        </is>
      </c>
      <c r="E74" s="4" t="inlineStr">
        <is>
          <t>WR</t>
        </is>
      </c>
      <c r="F74" s="3" t="n">
        <v>24</v>
      </c>
      <c r="G74" s="3" t="n">
        <v>5</v>
      </c>
      <c r="H74" s="4" t="inlineStr">
        <is>
          <t>Luther Burden III</t>
        </is>
      </c>
      <c r="I74" s="4" t="inlineStr">
        <is>
          <t>CHI</t>
        </is>
      </c>
      <c r="J74" s="3" t="n">
        <v>10</v>
      </c>
      <c r="K74" s="4" t="inlineStr"/>
      <c r="L74" s="9" t="inlineStr">
        <is>
          <t>Gauntlet</t>
        </is>
      </c>
      <c r="M74" s="4" t="inlineStr"/>
      <c r="N74" s="3" t="n">
        <v>64.09999999999999</v>
      </c>
      <c r="O74" s="19" t="n">
        <v>-6.9</v>
      </c>
      <c r="P74" s="3" t="n">
        <v>10.9</v>
      </c>
      <c r="Q74" s="4" t="inlineStr"/>
      <c r="R74" s="8" t="inlineStr">
        <is>
          <t>ECR-ranked; no dedicated situational research yet -- verify news/depth chart closer to draft time.</t>
        </is>
      </c>
    </row>
    <row r="75">
      <c r="A75" s="3" t="inlineStr"/>
      <c r="B75" s="3" t="n">
        <v>72</v>
      </c>
      <c r="C75" s="3" t="n">
        <v>5</v>
      </c>
      <c r="D75" s="3" t="inlineStr">
        <is>
          <t>Tier 5</t>
        </is>
      </c>
      <c r="E75" s="4" t="inlineStr">
        <is>
          <t>TE</t>
        </is>
      </c>
      <c r="F75" s="3" t="n">
        <v>11</v>
      </c>
      <c r="G75" s="3" t="n">
        <v>6</v>
      </c>
      <c r="H75" s="4" t="inlineStr">
        <is>
          <t>Dalton Kincaid</t>
        </is>
      </c>
      <c r="I75" s="4" t="inlineStr">
        <is>
          <t>BUF</t>
        </is>
      </c>
      <c r="J75" s="3" t="n">
        <v>7</v>
      </c>
      <c r="K75" s="4" t="inlineStr"/>
      <c r="L75" s="9" t="inlineStr">
        <is>
          <t>Gauntlet</t>
        </is>
      </c>
      <c r="M75" s="4" t="inlineStr"/>
      <c r="N75" s="3" t="n">
        <v>105.9</v>
      </c>
      <c r="O75" s="10" t="n">
        <v>33.9</v>
      </c>
      <c r="P75" s="3" t="n">
        <v>10.3</v>
      </c>
      <c r="Q75" s="4" t="inlineStr"/>
      <c r="R75" s="8" t="inlineStr">
        <is>
          <t>ECR-ranked; no dedicated situational research yet -- verify news/depth chart closer to draft time.</t>
        </is>
      </c>
    </row>
    <row r="76">
      <c r="A76" s="3" t="inlineStr"/>
      <c r="B76" s="3" t="n">
        <v>73</v>
      </c>
      <c r="C76" s="3" t="n">
        <v>5</v>
      </c>
      <c r="D76" s="3" t="inlineStr">
        <is>
          <t>Tier 5</t>
        </is>
      </c>
      <c r="E76" s="4" t="inlineStr">
        <is>
          <t>WR</t>
        </is>
      </c>
      <c r="F76" s="3" t="n">
        <v>25</v>
      </c>
      <c r="G76" s="3" t="n">
        <v>5</v>
      </c>
      <c r="H76" s="4" t="inlineStr">
        <is>
          <t>Jameson Williams</t>
        </is>
      </c>
      <c r="I76" s="4" t="inlineStr">
        <is>
          <t>DET</t>
        </is>
      </c>
      <c r="J76" s="3" t="n">
        <v>6</v>
      </c>
      <c r="K76" s="4" t="inlineStr"/>
      <c r="L76" s="9" t="inlineStr">
        <is>
          <t>Gauntlet</t>
        </is>
      </c>
      <c r="M76" s="4" t="inlineStr"/>
      <c r="N76" s="3" t="n">
        <v>72.3</v>
      </c>
      <c r="O76" s="3" t="n">
        <v>-0.7</v>
      </c>
      <c r="P76" s="3" t="n">
        <v>9.4</v>
      </c>
      <c r="Q76" s="16" t="inlineStr">
        <is>
          <t>BUST</t>
        </is>
      </c>
      <c r="R76" s="8" t="inlineStr">
        <is>
          <t>Both breakout years required another player's absence; 3rd option when healthy</t>
        </is>
      </c>
    </row>
    <row r="77">
      <c r="A77" s="3" t="inlineStr"/>
      <c r="B77" s="3" t="n">
        <v>74</v>
      </c>
      <c r="C77" s="3" t="n">
        <v>5</v>
      </c>
      <c r="D77" s="3" t="inlineStr">
        <is>
          <t>Tier 5</t>
        </is>
      </c>
      <c r="E77" s="4" t="inlineStr">
        <is>
          <t>RB</t>
        </is>
      </c>
      <c r="F77" s="3" t="n">
        <v>22</v>
      </c>
      <c r="G77" s="3" t="n">
        <v>5</v>
      </c>
      <c r="H77" s="4" t="inlineStr">
        <is>
          <t>Quinshon Judkins</t>
        </is>
      </c>
      <c r="I77" s="4" t="inlineStr">
        <is>
          <t>CLE</t>
        </is>
      </c>
      <c r="J77" s="3" t="n">
        <v>11</v>
      </c>
      <c r="K77" s="4" t="inlineStr"/>
      <c r="L77" s="9" t="inlineStr">
        <is>
          <t>Gauntlet</t>
        </is>
      </c>
      <c r="M77" s="4" t="inlineStr"/>
      <c r="N77" s="3" t="n">
        <v>67.40000000000001</v>
      </c>
      <c r="O77" s="19" t="n">
        <v>-6.6</v>
      </c>
      <c r="P77" s="3" t="n">
        <v>9.1</v>
      </c>
      <c r="Q77" s="4" t="inlineStr"/>
      <c r="R77" s="8" t="inlineStr">
        <is>
          <t>ECR-ranked; no dedicated situational research yet -- verify news/depth chart closer to draft time.</t>
        </is>
      </c>
    </row>
    <row r="78">
      <c r="A78" s="3" t="inlineStr"/>
      <c r="B78" s="3" t="n">
        <v>75</v>
      </c>
      <c r="C78" s="3" t="n">
        <v>5</v>
      </c>
      <c r="D78" s="3" t="inlineStr">
        <is>
          <t>Tier 5</t>
        </is>
      </c>
      <c r="E78" s="4" t="inlineStr">
        <is>
          <t>QB</t>
        </is>
      </c>
      <c r="F78" s="3" t="n">
        <v>17</v>
      </c>
      <c r="G78" s="3" t="n">
        <v>6</v>
      </c>
      <c r="H78" s="4" t="inlineStr">
        <is>
          <t>Jordan Love</t>
        </is>
      </c>
      <c r="I78" s="4" t="inlineStr">
        <is>
          <t>GB</t>
        </is>
      </c>
      <c r="J78" s="3" t="n">
        <v>11</v>
      </c>
      <c r="K78" s="4" t="inlineStr"/>
      <c r="L78" s="13" t="inlineStr">
        <is>
          <t>Tough</t>
        </is>
      </c>
      <c r="M78" s="6" t="inlineStr">
        <is>
          <t>Superflex Depth</t>
        </is>
      </c>
      <c r="N78" s="3" t="n">
        <v>77</v>
      </c>
      <c r="O78" s="3" t="n">
        <v>2</v>
      </c>
      <c r="P78" s="3" t="n">
        <v>8.5</v>
      </c>
      <c r="Q78" s="4" t="inlineStr"/>
      <c r="R78" s="8" t="inlineStr">
        <is>
          <t>ECR-ranked; no dedicated situational research yet -- verify news/depth chart closer to draft time.</t>
        </is>
      </c>
    </row>
    <row r="79">
      <c r="A79" s="3" t="inlineStr"/>
      <c r="B79" s="3" t="n">
        <v>76</v>
      </c>
      <c r="C79" s="3" t="n">
        <v>5</v>
      </c>
      <c r="D79" s="3" t="inlineStr">
        <is>
          <t>Tier 5</t>
        </is>
      </c>
      <c r="E79" s="4" t="inlineStr">
        <is>
          <t>RB</t>
        </is>
      </c>
      <c r="F79" s="3" t="n">
        <v>23</v>
      </c>
      <c r="G79" s="3" t="n">
        <v>6</v>
      </c>
      <c r="H79" s="4" t="inlineStr">
        <is>
          <t>David Montgomery</t>
        </is>
      </c>
      <c r="I79" s="4" t="inlineStr">
        <is>
          <t>HOU</t>
        </is>
      </c>
      <c r="J79" s="3" t="n">
        <v>8</v>
      </c>
      <c r="K79" s="4" t="inlineStr"/>
      <c r="L79" s="5" t="inlineStr">
        <is>
          <t>Very Soft</t>
        </is>
      </c>
      <c r="M79" s="4" t="inlineStr"/>
      <c r="N79" s="3" t="n">
        <v>68.2</v>
      </c>
      <c r="O79" s="19" t="n">
        <v>-7.8</v>
      </c>
      <c r="P79" s="3" t="n">
        <v>8.300000000000001</v>
      </c>
      <c r="Q79" s="14" t="inlineStr">
        <is>
          <t>GAMBLE</t>
        </is>
      </c>
      <c r="R79" s="8" t="inlineStr">
        <is>
          <t>NEW 8/30: traded from Detroit to Houston (Gibbs is now the Lions' unquestioned bell-cow); lands in a crowded 3-way Texans mix with Woody Marks and Nick Chubb, no role locked down</t>
        </is>
      </c>
    </row>
    <row r="80">
      <c r="A80" s="3" t="inlineStr"/>
      <c r="B80" s="3" t="n">
        <v>77</v>
      </c>
      <c r="C80" s="3" t="n">
        <v>5</v>
      </c>
      <c r="D80" s="3" t="inlineStr">
        <is>
          <t>Tier 5</t>
        </is>
      </c>
      <c r="E80" s="4" t="inlineStr">
        <is>
          <t>TE</t>
        </is>
      </c>
      <c r="F80" s="3" t="n">
        <v>12</v>
      </c>
      <c r="G80" s="3" t="n">
        <v>6</v>
      </c>
      <c r="H80" s="4" t="inlineStr">
        <is>
          <t>Dallas Goedert</t>
        </is>
      </c>
      <c r="I80" s="4" t="inlineStr">
        <is>
          <t>PHI</t>
        </is>
      </c>
      <c r="J80" s="3" t="n">
        <v>10</v>
      </c>
      <c r="K80" s="12" t="inlineStr">
        <is>
          <t>YES</t>
        </is>
      </c>
      <c r="L80" s="5" t="inlineStr">
        <is>
          <t>Very Soft</t>
        </is>
      </c>
      <c r="M80" s="4" t="inlineStr"/>
      <c r="N80" s="3" t="n">
        <v>125.8</v>
      </c>
      <c r="O80" s="10" t="n">
        <v>48.8</v>
      </c>
      <c r="P80" s="3" t="n">
        <v>8.199999999999999</v>
      </c>
      <c r="Q80" s="18" t="inlineStr">
        <is>
          <t>FLOOR</t>
        </is>
      </c>
      <c r="R80" s="8" t="inlineStr">
        <is>
          <t>Contract year; TE4 with 11 TDs in 2025, more volume now that A.J. Brown is gone. UPDATED 8/30: rookie TE Eli Stowers (2nd-rounder) + added WR depth threaten his target share -- one analyst projects him closer to TE15 than TE10, still startable but trending down not up</t>
        </is>
      </c>
    </row>
    <row r="81">
      <c r="A81" s="3" t="inlineStr"/>
      <c r="B81" s="3" t="n">
        <v>78</v>
      </c>
      <c r="C81" s="3" t="n">
        <v>5</v>
      </c>
      <c r="D81" s="3" t="inlineStr">
        <is>
          <t>Tier 5</t>
        </is>
      </c>
      <c r="E81" s="4" t="inlineStr">
        <is>
          <t>WR</t>
        </is>
      </c>
      <c r="F81" s="3" t="n">
        <v>26</v>
      </c>
      <c r="G81" s="3" t="n">
        <v>5</v>
      </c>
      <c r="H81" s="4" t="inlineStr">
        <is>
          <t>D.J. Moore</t>
        </is>
      </c>
      <c r="I81" s="4" t="inlineStr">
        <is>
          <t>BUF</t>
        </is>
      </c>
      <c r="J81" s="3" t="n">
        <v>7</v>
      </c>
      <c r="K81" s="4" t="inlineStr"/>
      <c r="L81" s="9" t="inlineStr">
        <is>
          <t>Gauntlet</t>
        </is>
      </c>
      <c r="M81" s="4" t="inlineStr"/>
      <c r="N81" s="3" t="n">
        <v>64.40000000000001</v>
      </c>
      <c r="O81" s="19" t="n">
        <v>-13.6</v>
      </c>
      <c r="P81" s="3" t="n">
        <v>8.199999999999999</v>
      </c>
      <c r="Q81" s="4" t="inlineStr"/>
      <c r="R81" s="8" t="inlineStr">
        <is>
          <t>ECR-ranked; no dedicated situational research yet -- verify news/depth chart closer to draft time.</t>
        </is>
      </c>
    </row>
    <row r="82">
      <c r="A82" s="3" t="inlineStr"/>
      <c r="B82" s="3" t="n">
        <v>79</v>
      </c>
      <c r="C82" s="3" t="n">
        <v>5</v>
      </c>
      <c r="D82" s="3" t="inlineStr">
        <is>
          <t>Tier 5</t>
        </is>
      </c>
      <c r="E82" s="4" t="inlineStr">
        <is>
          <t>WR</t>
        </is>
      </c>
      <c r="F82" s="3" t="n">
        <v>27</v>
      </c>
      <c r="G82" s="3" t="n">
        <v>6</v>
      </c>
      <c r="H82" s="4" t="inlineStr">
        <is>
          <t>Christian Watson</t>
        </is>
      </c>
      <c r="I82" s="4" t="inlineStr">
        <is>
          <t>GB</t>
        </is>
      </c>
      <c r="J82" s="3" t="n">
        <v>11</v>
      </c>
      <c r="K82" s="4" t="inlineStr"/>
      <c r="L82" s="13" t="inlineStr">
        <is>
          <t>Tough</t>
        </is>
      </c>
      <c r="M82" s="4" t="inlineStr"/>
      <c r="N82" s="3" t="n">
        <v>78.2</v>
      </c>
      <c r="O82" s="3" t="n">
        <v>-0.8</v>
      </c>
      <c r="P82" s="3" t="n">
        <v>7.2</v>
      </c>
      <c r="Q82" s="4" t="inlineStr"/>
      <c r="R82" s="8" t="inlineStr">
        <is>
          <t>ECR-ranked; no dedicated situational research yet -- verify news/depth chart closer to draft time.</t>
        </is>
      </c>
    </row>
    <row r="83">
      <c r="A83" s="3" t="inlineStr"/>
      <c r="B83" s="3" t="n">
        <v>80</v>
      </c>
      <c r="C83" s="3" t="n">
        <v>5</v>
      </c>
      <c r="D83" s="3" t="inlineStr">
        <is>
          <t>Tier 5</t>
        </is>
      </c>
      <c r="E83" s="4" t="inlineStr">
        <is>
          <t>RB</t>
        </is>
      </c>
      <c r="F83" s="3" t="n">
        <v>24</v>
      </c>
      <c r="G83" s="3" t="n">
        <v>6</v>
      </c>
      <c r="H83" s="4" t="inlineStr">
        <is>
          <t>Bhayshul Tuten</t>
        </is>
      </c>
      <c r="I83" s="4" t="inlineStr">
        <is>
          <t>JAC</t>
        </is>
      </c>
      <c r="J83" s="3" t="n">
        <v>7</v>
      </c>
      <c r="K83" s="4" t="inlineStr"/>
      <c r="L83" s="13" t="inlineStr">
        <is>
          <t>Tough</t>
        </is>
      </c>
      <c r="M83" s="4" t="inlineStr"/>
      <c r="N83" s="3" t="n">
        <v>72.90000000000001</v>
      </c>
      <c r="O83" s="19" t="n">
        <v>-7.1</v>
      </c>
      <c r="P83" s="3" t="n">
        <v>6.5</v>
      </c>
      <c r="Q83" s="16" t="inlineStr">
        <is>
          <t>BUST</t>
        </is>
      </c>
      <c r="R83" s="8" t="inlineStr">
        <is>
          <t>Averaged just 3.7 YPC; LeQuint Allen handles the receiving work</t>
        </is>
      </c>
    </row>
    <row r="84">
      <c r="A84" s="3" t="inlineStr"/>
      <c r="B84" s="3" t="n">
        <v>81</v>
      </c>
      <c r="C84" s="3" t="n">
        <v>5</v>
      </c>
      <c r="D84" s="3" t="inlineStr">
        <is>
          <t>Tier 5</t>
        </is>
      </c>
      <c r="E84" s="4" t="inlineStr">
        <is>
          <t>WR</t>
        </is>
      </c>
      <c r="F84" s="3" t="n">
        <v>28</v>
      </c>
      <c r="G84" s="3" t="n">
        <v>6</v>
      </c>
      <c r="H84" s="4" t="inlineStr">
        <is>
          <t>Rome Odunze</t>
        </is>
      </c>
      <c r="I84" s="4" t="inlineStr">
        <is>
          <t>CHI</t>
        </is>
      </c>
      <c r="J84" s="3" t="n">
        <v>10</v>
      </c>
      <c r="K84" s="4" t="inlineStr"/>
      <c r="L84" s="9" t="inlineStr">
        <is>
          <t>Gauntlet</t>
        </is>
      </c>
      <c r="M84" s="4" t="inlineStr"/>
      <c r="N84" s="3" t="n">
        <v>75.09999999999999</v>
      </c>
      <c r="O84" s="19" t="n">
        <v>-5.9</v>
      </c>
      <c r="P84" s="3" t="n">
        <v>5.9</v>
      </c>
      <c r="Q84" s="4" t="inlineStr"/>
      <c r="R84" s="8" t="inlineStr">
        <is>
          <t>ECR-ranked; no dedicated situational research yet -- verify news/depth chart closer to draft time.</t>
        </is>
      </c>
    </row>
    <row r="85">
      <c r="A85" s="3" t="inlineStr"/>
      <c r="B85" s="3" t="n">
        <v>82</v>
      </c>
      <c r="C85" s="3" t="n">
        <v>5</v>
      </c>
      <c r="D85" s="3" t="inlineStr">
        <is>
          <t>Tier 5</t>
        </is>
      </c>
      <c r="E85" s="4" t="inlineStr">
        <is>
          <t>QB</t>
        </is>
      </c>
      <c r="F85" s="3" t="n">
        <v>18</v>
      </c>
      <c r="G85" s="3" t="n">
        <v>6</v>
      </c>
      <c r="H85" s="4" t="inlineStr">
        <is>
          <t>Baker Mayfield</t>
        </is>
      </c>
      <c r="I85" s="4" t="inlineStr">
        <is>
          <t>TB</t>
        </is>
      </c>
      <c r="J85" s="3" t="n">
        <v>10</v>
      </c>
      <c r="K85" s="12" t="inlineStr">
        <is>
          <t>YES</t>
        </is>
      </c>
      <c r="L85" s="9" t="inlineStr">
        <is>
          <t>Gauntlet</t>
        </is>
      </c>
      <c r="M85" s="6" t="inlineStr">
        <is>
          <t>Superflex Depth</t>
        </is>
      </c>
      <c r="N85" s="3" t="n">
        <v>80.90000000000001</v>
      </c>
      <c r="O85" s="3" t="n">
        <v>-1.1</v>
      </c>
      <c r="P85" s="3" t="n">
        <v>5.6</v>
      </c>
      <c r="Q85" s="21" t="inlineStr">
        <is>
          <t>DEPTH</t>
        </is>
      </c>
      <c r="R85" s="8" t="inlineStr">
        <is>
          <t>Contract year; real starting job in Tampa Bay</t>
        </is>
      </c>
    </row>
    <row r="86">
      <c r="A86" s="3" t="inlineStr"/>
      <c r="B86" s="3" t="n">
        <v>83</v>
      </c>
      <c r="C86" s="3" t="n">
        <v>5</v>
      </c>
      <c r="D86" s="3" t="inlineStr">
        <is>
          <t>Tier 5</t>
        </is>
      </c>
      <c r="E86" s="4" t="inlineStr">
        <is>
          <t>RB</t>
        </is>
      </c>
      <c r="F86" s="3" t="n">
        <v>25</v>
      </c>
      <c r="G86" s="3" t="n">
        <v>6</v>
      </c>
      <c r="H86" s="4" t="inlineStr">
        <is>
          <t>Jadarian Price</t>
        </is>
      </c>
      <c r="I86" s="4" t="inlineStr">
        <is>
          <t>SEA</t>
        </is>
      </c>
      <c r="J86" s="3" t="n">
        <v>11</v>
      </c>
      <c r="K86" s="4" t="inlineStr"/>
      <c r="L86" s="11" t="inlineStr">
        <is>
          <t>Neutral</t>
        </is>
      </c>
      <c r="M86" s="4" t="inlineStr"/>
      <c r="N86" s="3" t="n">
        <v>75.5</v>
      </c>
      <c r="O86" s="19" t="n">
        <v>-7.5</v>
      </c>
      <c r="P86" s="3" t="n">
        <v>5.4</v>
      </c>
      <c r="Q86" s="14" t="inlineStr">
        <is>
          <t>GAMBLE</t>
        </is>
      </c>
      <c r="R86" s="8" t="inlineStr">
        <is>
          <t>1st-round rookie capital into an unresolved timeshare with Charbonnet</t>
        </is>
      </c>
    </row>
    <row r="87">
      <c r="A87" s="3" t="inlineStr"/>
      <c r="B87" s="3" t="n">
        <v>84</v>
      </c>
      <c r="C87" s="3" t="n">
        <v>5</v>
      </c>
      <c r="D87" s="3" t="inlineStr">
        <is>
          <t>Tier 5</t>
        </is>
      </c>
      <c r="E87" s="4" t="inlineStr">
        <is>
          <t>WR</t>
        </is>
      </c>
      <c r="F87" s="3" t="n">
        <v>29</v>
      </c>
      <c r="G87" s="3" t="n">
        <v>6</v>
      </c>
      <c r="H87" s="4" t="inlineStr">
        <is>
          <t>Mike Evans</t>
        </is>
      </c>
      <c r="I87" s="4" t="inlineStr">
        <is>
          <t>SF</t>
        </is>
      </c>
      <c r="J87" s="3" t="n">
        <v>8</v>
      </c>
      <c r="K87" s="12" t="inlineStr">
        <is>
          <t>YES</t>
        </is>
      </c>
      <c r="L87" s="11" t="inlineStr">
        <is>
          <t>Neutral</t>
        </is>
      </c>
      <c r="M87" s="4" t="inlineStr"/>
      <c r="N87" s="3" t="n">
        <v>78.40000000000001</v>
      </c>
      <c r="O87" s="19" t="n">
        <v>-5.6</v>
      </c>
      <c r="P87" s="3" t="n">
        <v>5.2</v>
      </c>
      <c r="Q87" s="16" t="inlineStr">
        <is>
          <t>BUST</t>
        </is>
      </c>
      <c r="R87" s="8" t="inlineStr">
        <is>
          <t>Contract year; new team/unproven QB fit; played 17/14/8 games last 3 yrs</t>
        </is>
      </c>
    </row>
    <row r="88">
      <c r="A88" s="3" t="inlineStr"/>
      <c r="B88" s="3" t="n">
        <v>85</v>
      </c>
      <c r="C88" s="3" t="n">
        <v>5</v>
      </c>
      <c r="D88" s="3" t="inlineStr">
        <is>
          <t>Tier 5</t>
        </is>
      </c>
      <c r="E88" s="4" t="inlineStr">
        <is>
          <t>TE</t>
        </is>
      </c>
      <c r="F88" s="3" t="n">
        <v>13</v>
      </c>
      <c r="G88" s="3" t="n">
        <v>6</v>
      </c>
      <c r="H88" s="4" t="inlineStr">
        <is>
          <t>Isaiah Likely</t>
        </is>
      </c>
      <c r="I88" s="4" t="inlineStr">
        <is>
          <t>NYG</t>
        </is>
      </c>
      <c r="J88" s="3" t="n">
        <v>8</v>
      </c>
      <c r="K88" s="4" t="inlineStr"/>
      <c r="L88" s="5" t="inlineStr">
        <is>
          <t>Very Soft</t>
        </is>
      </c>
      <c r="M88" s="4" t="inlineStr"/>
      <c r="N88" s="3" t="n">
        <v>114.3</v>
      </c>
      <c r="O88" s="10" t="n">
        <v>29.3</v>
      </c>
      <c r="P88" s="3" t="n">
        <v>4.9</v>
      </c>
      <c r="Q88" s="20" t="inlineStr">
        <is>
          <t>SLEEPER</t>
        </is>
      </c>
      <c r="R88" s="8" t="inlineStr">
        <is>
          <t>3yr/$40M deal, reunited with new Giants HC Harbaugh; Dart's 2nd read</t>
        </is>
      </c>
    </row>
    <row r="89">
      <c r="A89" s="3" t="inlineStr"/>
      <c r="B89" s="3" t="n">
        <v>86</v>
      </c>
      <c r="C89" s="3" t="n">
        <v>5</v>
      </c>
      <c r="D89" s="3" t="inlineStr">
        <is>
          <t>Tier 5</t>
        </is>
      </c>
      <c r="E89" s="4" t="inlineStr">
        <is>
          <t>RB</t>
        </is>
      </c>
      <c r="F89" s="3" t="n">
        <v>26</v>
      </c>
      <c r="G89" s="3" t="n">
        <v>6</v>
      </c>
      <c r="H89" s="4" t="inlineStr">
        <is>
          <t>TreVeyon Henderson</t>
        </is>
      </c>
      <c r="I89" s="4" t="inlineStr">
        <is>
          <t>NE</t>
        </is>
      </c>
      <c r="J89" s="3" t="n">
        <v>11</v>
      </c>
      <c r="K89" s="4" t="inlineStr"/>
      <c r="L89" s="9" t="inlineStr">
        <is>
          <t>Gauntlet</t>
        </is>
      </c>
      <c r="M89" s="4" t="inlineStr"/>
      <c r="N89" s="3" t="n">
        <v>77.40000000000001</v>
      </c>
      <c r="O89" s="19" t="n">
        <v>-8.6</v>
      </c>
      <c r="P89" s="3" t="n">
        <v>4</v>
      </c>
      <c r="Q89" s="4" t="inlineStr"/>
      <c r="R89" s="8" t="inlineStr">
        <is>
          <t>ECR-ranked; no dedicated situational research yet -- verify news/depth chart closer to draft time.</t>
        </is>
      </c>
    </row>
    <row r="90">
      <c r="A90" s="3" t="inlineStr"/>
      <c r="B90" s="3" t="n">
        <v>87</v>
      </c>
      <c r="C90" s="3" t="n">
        <v>5</v>
      </c>
      <c r="D90" s="3" t="inlineStr">
        <is>
          <t>Tier 5</t>
        </is>
      </c>
      <c r="E90" s="4" t="inlineStr">
        <is>
          <t>WR</t>
        </is>
      </c>
      <c r="F90" s="3" t="n">
        <v>30</v>
      </c>
      <c r="G90" s="3" t="n">
        <v>6</v>
      </c>
      <c r="H90" s="4" t="inlineStr">
        <is>
          <t>Parker Washington</t>
        </is>
      </c>
      <c r="I90" s="4" t="inlineStr">
        <is>
          <t>JAC</t>
        </is>
      </c>
      <c r="J90" s="3" t="n">
        <v>7</v>
      </c>
      <c r="K90" s="12" t="inlineStr">
        <is>
          <t>YES</t>
        </is>
      </c>
      <c r="L90" s="9" t="inlineStr">
        <is>
          <t>Gauntlet</t>
        </is>
      </c>
      <c r="M90" s="4" t="inlineStr"/>
      <c r="N90" s="3" t="n">
        <v>78.90000000000001</v>
      </c>
      <c r="O90" s="19" t="n">
        <v>-8.1</v>
      </c>
      <c r="P90" s="3" t="n">
        <v>3.9</v>
      </c>
      <c r="Q90" s="21" t="inlineStr">
        <is>
          <t>DEPTH</t>
        </is>
      </c>
      <c r="R90" s="8" t="inlineStr">
        <is>
          <t>Contract year; Jaguars depth-chart WR1</t>
        </is>
      </c>
    </row>
    <row r="91">
      <c r="A91" s="3" t="inlineStr"/>
      <c r="B91" s="3" t="n">
        <v>88</v>
      </c>
      <c r="C91" s="3" t="n">
        <v>6</v>
      </c>
      <c r="D91" s="3" t="inlineStr">
        <is>
          <t>Tier 6</t>
        </is>
      </c>
      <c r="E91" s="4" t="inlineStr">
        <is>
          <t>RB</t>
        </is>
      </c>
      <c r="F91" s="3" t="n">
        <v>27</v>
      </c>
      <c r="G91" s="3" t="n">
        <v>6</v>
      </c>
      <c r="H91" s="4" t="inlineStr">
        <is>
          <t>Rhamondre Stevenson</t>
        </is>
      </c>
      <c r="I91" s="4" t="inlineStr">
        <is>
          <t>NE</t>
        </is>
      </c>
      <c r="J91" s="3" t="n">
        <v>11</v>
      </c>
      <c r="K91" s="4" t="inlineStr"/>
      <c r="L91" s="9" t="inlineStr">
        <is>
          <t>Gauntlet</t>
        </is>
      </c>
      <c r="M91" s="4" t="inlineStr"/>
      <c r="N91" s="3" t="n">
        <v>87.59999999999999</v>
      </c>
      <c r="O91" s="3" t="n">
        <v>-0.4</v>
      </c>
      <c r="P91" s="3" t="n">
        <v>2.9</v>
      </c>
      <c r="Q91" s="23" t="inlineStr">
        <is>
          <t>HANDCUFF</t>
        </is>
      </c>
      <c r="R91" s="8" t="inlineStr">
        <is>
          <t>NEW 8/30: genuine committee with 2nd-year TreVeyon Henderson, not a clear lead back -- touches likely split all season, treat as backend RB depth not a locked-in starter</t>
        </is>
      </c>
    </row>
    <row r="92">
      <c r="A92" s="3" t="inlineStr"/>
      <c r="B92" s="3" t="n">
        <v>89</v>
      </c>
      <c r="C92" s="3" t="n">
        <v>6</v>
      </c>
      <c r="D92" s="3" t="inlineStr">
        <is>
          <t>Tier 6</t>
        </is>
      </c>
      <c r="E92" s="4" t="inlineStr">
        <is>
          <t>WR</t>
        </is>
      </c>
      <c r="F92" s="3" t="n">
        <v>31</v>
      </c>
      <c r="G92" s="3" t="n">
        <v>6</v>
      </c>
      <c r="H92" s="4" t="inlineStr">
        <is>
          <t>Marvin Harrison Jr.</t>
        </is>
      </c>
      <c r="I92" s="4" t="inlineStr">
        <is>
          <t>ARI</t>
        </is>
      </c>
      <c r="J92" s="3" t="n">
        <v>14</v>
      </c>
      <c r="K92" s="4" t="inlineStr"/>
      <c r="L92" s="13" t="inlineStr">
        <is>
          <t>Tough</t>
        </is>
      </c>
      <c r="M92" s="4" t="inlineStr"/>
      <c r="N92" s="3" t="n">
        <v>87.40000000000001</v>
      </c>
      <c r="O92" s="3" t="n">
        <v>-1.6</v>
      </c>
      <c r="P92" s="3" t="n">
        <v>2.8</v>
      </c>
      <c r="Q92" s="4" t="inlineStr"/>
      <c r="R92" s="8" t="inlineStr">
        <is>
          <t>ECR-ranked; no dedicated situational research yet -- verify news/depth chart closer to draft time.</t>
        </is>
      </c>
    </row>
    <row r="93">
      <c r="A93" s="3" t="inlineStr"/>
      <c r="B93" s="3" t="n">
        <v>90</v>
      </c>
      <c r="C93" s="3" t="n">
        <v>6</v>
      </c>
      <c r="D93" s="3" t="inlineStr">
        <is>
          <t>Tier 6</t>
        </is>
      </c>
      <c r="E93" s="4" t="inlineStr">
        <is>
          <t>QB</t>
        </is>
      </c>
      <c r="F93" s="3" t="n">
        <v>19</v>
      </c>
      <c r="G93" s="3" t="n">
        <v>6</v>
      </c>
      <c r="H93" s="4" t="inlineStr">
        <is>
          <t>Kyler Murray</t>
        </is>
      </c>
      <c r="I93" s="4" t="inlineStr">
        <is>
          <t>MIN</t>
        </is>
      </c>
      <c r="J93" s="3" t="n">
        <v>6</v>
      </c>
      <c r="K93" s="4" t="inlineStr"/>
      <c r="L93" s="17" t="inlineStr">
        <is>
          <t>Soft</t>
        </is>
      </c>
      <c r="M93" s="6" t="inlineStr">
        <is>
          <t>Superflex Depth</t>
        </is>
      </c>
      <c r="N93" s="3" t="n">
        <v>77.3</v>
      </c>
      <c r="O93" s="19" t="n">
        <v>-12.7</v>
      </c>
      <c r="P93" s="3" t="n">
        <v>2.7</v>
      </c>
      <c r="Q93" s="20" t="inlineStr">
        <is>
          <t>SLEEPER</t>
        </is>
      </c>
      <c r="R93" s="8" t="inlineStr">
        <is>
          <t>Won the Vikings' Wk1 job over McCarthy; elite weapons, still-depressed price</t>
        </is>
      </c>
    </row>
    <row r="94">
      <c r="A94" s="3" t="inlineStr"/>
      <c r="B94" s="3" t="n">
        <v>91</v>
      </c>
      <c r="C94" s="3" t="n">
        <v>6</v>
      </c>
      <c r="D94" s="3" t="inlineStr">
        <is>
          <t>Tier 6</t>
        </is>
      </c>
      <c r="E94" s="4" t="inlineStr">
        <is>
          <t>TE</t>
        </is>
      </c>
      <c r="F94" s="3" t="n">
        <v>14</v>
      </c>
      <c r="G94" s="3" t="n">
        <v>6</v>
      </c>
      <c r="H94" s="4" t="inlineStr">
        <is>
          <t>Mark Andrews</t>
        </is>
      </c>
      <c r="I94" s="4" t="inlineStr">
        <is>
          <t>BAL</t>
        </is>
      </c>
      <c r="J94" s="3" t="n">
        <v>13</v>
      </c>
      <c r="K94" s="4" t="inlineStr"/>
      <c r="L94" s="5" t="inlineStr">
        <is>
          <t>Very Soft</t>
        </is>
      </c>
      <c r="M94" s="4" t="inlineStr"/>
      <c r="N94" s="3" t="n">
        <v>126.2</v>
      </c>
      <c r="O94" s="10" t="n">
        <v>35.2</v>
      </c>
      <c r="P94" s="3" t="n">
        <v>2.3</v>
      </c>
      <c r="Q94" s="4" t="inlineStr"/>
      <c r="R94" s="8" t="inlineStr">
        <is>
          <t>ECR-ranked; no dedicated situational research yet -- verify news/depth chart closer to draft time.</t>
        </is>
      </c>
    </row>
    <row r="95">
      <c r="A95" s="3" t="inlineStr"/>
      <c r="B95" s="3" t="n">
        <v>92</v>
      </c>
      <c r="C95" s="3" t="n">
        <v>6</v>
      </c>
      <c r="D95" s="3" t="inlineStr">
        <is>
          <t>Tier 6</t>
        </is>
      </c>
      <c r="E95" s="4" t="inlineStr">
        <is>
          <t>RB</t>
        </is>
      </c>
      <c r="F95" s="3" t="n">
        <v>28</v>
      </c>
      <c r="G95" s="3" t="n">
        <v>6</v>
      </c>
      <c r="H95" s="4" t="inlineStr">
        <is>
          <t>Jaylen Warren</t>
        </is>
      </c>
      <c r="I95" s="4" t="inlineStr">
        <is>
          <t>PIT</t>
        </is>
      </c>
      <c r="J95" s="3" t="n">
        <v>9</v>
      </c>
      <c r="K95" s="4" t="inlineStr"/>
      <c r="L95" s="17" t="inlineStr">
        <is>
          <t>Soft</t>
        </is>
      </c>
      <c r="M95" s="4" t="inlineStr"/>
      <c r="N95" s="3" t="n">
        <v>83.2</v>
      </c>
      <c r="O95" s="19" t="n">
        <v>-8.800000000000001</v>
      </c>
      <c r="P95" s="3" t="n">
        <v>2</v>
      </c>
      <c r="Q95" s="4" t="inlineStr"/>
      <c r="R95" s="8" t="inlineStr">
        <is>
          <t>ECR-ranked; no dedicated situational research yet -- verify news/depth chart closer to draft time.</t>
        </is>
      </c>
    </row>
    <row r="96">
      <c r="A96" s="3" t="inlineStr"/>
      <c r="B96" s="3" t="n">
        <v>93</v>
      </c>
      <c r="C96" s="3" t="n">
        <v>6</v>
      </c>
      <c r="D96" s="3" t="inlineStr">
        <is>
          <t>Tier 6</t>
        </is>
      </c>
      <c r="E96" s="4" t="inlineStr">
        <is>
          <t>WR</t>
        </is>
      </c>
      <c r="F96" s="3" t="n">
        <v>32</v>
      </c>
      <c r="G96" s="3" t="n">
        <v>6</v>
      </c>
      <c r="H96" s="4" t="inlineStr">
        <is>
          <t>Carnell Tate</t>
        </is>
      </c>
      <c r="I96" s="4" t="inlineStr">
        <is>
          <t>TEN</t>
        </is>
      </c>
      <c r="J96" s="3" t="n">
        <v>9</v>
      </c>
      <c r="K96" s="4" t="inlineStr"/>
      <c r="L96" s="11" t="inlineStr">
        <is>
          <t>Neutral</t>
        </is>
      </c>
      <c r="M96" s="4" t="inlineStr"/>
      <c r="N96" s="3" t="n">
        <v>82.7</v>
      </c>
      <c r="O96" s="19" t="n">
        <v>-10.3</v>
      </c>
      <c r="P96" s="3" t="n">
        <v>1.9</v>
      </c>
      <c r="Q96" s="4" t="inlineStr"/>
      <c r="R96" s="8" t="inlineStr">
        <is>
          <t>ECR-ranked; no dedicated situational research yet -- verify news/depth chart closer to draft time.</t>
        </is>
      </c>
    </row>
    <row r="97">
      <c r="A97" s="3" t="inlineStr"/>
      <c r="B97" s="3" t="n">
        <v>94</v>
      </c>
      <c r="C97" s="3" t="n">
        <v>6</v>
      </c>
      <c r="D97" s="3" t="inlineStr">
        <is>
          <t>Tier 6</t>
        </is>
      </c>
      <c r="E97" s="4" t="inlineStr">
        <is>
          <t>RB</t>
        </is>
      </c>
      <c r="F97" s="3" t="n">
        <v>29</v>
      </c>
      <c r="G97" s="3" t="n">
        <v>6</v>
      </c>
      <c r="H97" s="4" t="inlineStr">
        <is>
          <t>Tony Pollard</t>
        </is>
      </c>
      <c r="I97" s="4" t="inlineStr">
        <is>
          <t>TEN</t>
        </is>
      </c>
      <c r="J97" s="3" t="n">
        <v>9</v>
      </c>
      <c r="K97" s="12" t="inlineStr">
        <is>
          <t>YES</t>
        </is>
      </c>
      <c r="L97" s="5" t="inlineStr">
        <is>
          <t>Very Soft</t>
        </is>
      </c>
      <c r="M97" s="4" t="inlineStr"/>
      <c r="N97" s="3" t="n">
        <v>97.2</v>
      </c>
      <c r="O97" s="3" t="n">
        <v>3.2</v>
      </c>
      <c r="P97" s="3" t="n">
        <v>1</v>
      </c>
      <c r="Q97" s="21" t="inlineStr">
        <is>
          <t>DEPTH</t>
        </is>
      </c>
      <c r="R97" s="8" t="inlineStr">
        <is>
          <t>Contract year; Titans' clear RB1</t>
        </is>
      </c>
    </row>
    <row r="98">
      <c r="A98" s="3" t="inlineStr"/>
      <c r="B98" s="3" t="n">
        <v>95</v>
      </c>
      <c r="C98" s="3" t="n">
        <v>6</v>
      </c>
      <c r="D98" s="3" t="inlineStr">
        <is>
          <t>Tier 6</t>
        </is>
      </c>
      <c r="E98" s="4" t="inlineStr">
        <is>
          <t>WR</t>
        </is>
      </c>
      <c r="F98" s="3" t="n">
        <v>33</v>
      </c>
      <c r="G98" s="3" t="n">
        <v>6</v>
      </c>
      <c r="H98" s="4" t="inlineStr">
        <is>
          <t>Brian Thomas Jr.</t>
        </is>
      </c>
      <c r="I98" s="4" t="inlineStr">
        <is>
          <t>JAC</t>
        </is>
      </c>
      <c r="J98" s="3" t="n">
        <v>7</v>
      </c>
      <c r="K98" s="4" t="inlineStr"/>
      <c r="L98" s="9" t="inlineStr">
        <is>
          <t>Gauntlet</t>
        </is>
      </c>
      <c r="M98" s="4" t="inlineStr"/>
      <c r="N98" s="3" t="n">
        <v>92</v>
      </c>
      <c r="O98" s="3" t="n">
        <v>-3</v>
      </c>
      <c r="P98" s="3" t="n">
        <v>0.9</v>
      </c>
      <c r="Q98" s="20" t="inlineStr">
        <is>
          <t>SLEEPER</t>
        </is>
      </c>
      <c r="R98" s="8" t="inlineStr">
        <is>
          <t>NEW 8/30: 'career-best shape' per camp reports, primed for Jacksonville's true WR1 role -- projected ~22-25% target share, best big-play traits in a crowded room</t>
        </is>
      </c>
    </row>
    <row r="99">
      <c r="A99" s="3" t="inlineStr"/>
      <c r="B99" s="3" t="n">
        <v>96</v>
      </c>
      <c r="C99" s="3" t="n">
        <v>6</v>
      </c>
      <c r="D99" s="3" t="inlineStr">
        <is>
          <t>Tier 6</t>
        </is>
      </c>
      <c r="E99" s="4" t="inlineStr">
        <is>
          <t>WR</t>
        </is>
      </c>
      <c r="F99" s="3" t="n">
        <v>34</v>
      </c>
      <c r="G99" s="3" t="n">
        <v>6</v>
      </c>
      <c r="H99" s="4" t="inlineStr">
        <is>
          <t>DK Metcalf</t>
        </is>
      </c>
      <c r="I99" s="4" t="inlineStr">
        <is>
          <t>PIT</t>
        </is>
      </c>
      <c r="J99" s="3" t="n">
        <v>9</v>
      </c>
      <c r="K99" s="4" t="inlineStr"/>
      <c r="L99" s="13" t="inlineStr">
        <is>
          <t>Tough</t>
        </is>
      </c>
      <c r="M99" s="4" t="inlineStr"/>
      <c r="N99" s="3" t="n">
        <v>93</v>
      </c>
      <c r="O99" s="3" t="n">
        <v>-3</v>
      </c>
      <c r="P99" s="3" t="n">
        <v>0</v>
      </c>
      <c r="Q99" s="4" t="inlineStr"/>
      <c r="R99" s="8" t="inlineStr">
        <is>
          <t>ECR-ranked; no dedicated situational research yet -- verify news/depth chart closer to draft time.</t>
        </is>
      </c>
    </row>
    <row r="100">
      <c r="A100" s="3" t="inlineStr"/>
      <c r="B100" s="3" t="n">
        <v>97</v>
      </c>
      <c r="C100" s="3" t="n">
        <v>6</v>
      </c>
      <c r="D100" s="3" t="inlineStr">
        <is>
          <t>Tier 6</t>
        </is>
      </c>
      <c r="E100" s="4" t="inlineStr">
        <is>
          <t>QB</t>
        </is>
      </c>
      <c r="F100" s="3" t="n">
        <v>20</v>
      </c>
      <c r="G100" s="3" t="n">
        <v>6</v>
      </c>
      <c r="H100" s="4" t="inlineStr">
        <is>
          <t>Tyler Shough</t>
        </is>
      </c>
      <c r="I100" s="4" t="inlineStr">
        <is>
          <t>NO</t>
        </is>
      </c>
      <c r="J100" s="3" t="n">
        <v>8</v>
      </c>
      <c r="K100" s="4" t="inlineStr"/>
      <c r="L100" s="17" t="inlineStr">
        <is>
          <t>Soft</t>
        </is>
      </c>
      <c r="M100" s="6" t="inlineStr">
        <is>
          <t>Superflex Depth</t>
        </is>
      </c>
      <c r="N100" s="3" t="n">
        <v>87</v>
      </c>
      <c r="O100" s="19" t="n">
        <v>-10</v>
      </c>
      <c r="P100" s="3" t="n">
        <v>0</v>
      </c>
      <c r="Q100" s="20" t="inlineStr">
        <is>
          <t>SLEEPER</t>
        </is>
      </c>
      <c r="R100" s="8" t="inlineStr">
        <is>
          <t>Kellen Moore's offense; deep-league Superflex QB2 stash</t>
        </is>
      </c>
    </row>
    <row r="101">
      <c r="A101" s="3" t="inlineStr"/>
      <c r="B101" s="3" t="n">
        <v>98</v>
      </c>
      <c r="C101" s="3" t="n">
        <v>6</v>
      </c>
      <c r="D101" s="3" t="inlineStr">
        <is>
          <t>Tier 6</t>
        </is>
      </c>
      <c r="E101" s="4" t="inlineStr">
        <is>
          <t>RB</t>
        </is>
      </c>
      <c r="F101" s="3" t="n">
        <v>30</v>
      </c>
      <c r="G101" s="3" t="n">
        <v>6</v>
      </c>
      <c r="H101" s="4" t="inlineStr">
        <is>
          <t>Jonathon Brooks</t>
        </is>
      </c>
      <c r="I101" s="4" t="inlineStr">
        <is>
          <t>CAR</t>
        </is>
      </c>
      <c r="J101" s="3" t="n">
        <v>5</v>
      </c>
      <c r="K101" s="4" t="inlineStr"/>
      <c r="L101" s="17" t="inlineStr">
        <is>
          <t>Soft</t>
        </is>
      </c>
      <c r="M101" s="4" t="inlineStr"/>
      <c r="N101" s="3" t="n">
        <v>101.4</v>
      </c>
      <c r="O101" s="3" t="n">
        <v>3.4</v>
      </c>
      <c r="P101" s="3" t="n">
        <v>0</v>
      </c>
      <c r="Q101" s="16" t="inlineStr">
        <is>
          <t>BUST</t>
        </is>
      </c>
      <c r="R101" s="8" t="inlineStr">
        <is>
          <t>9 career carries and a second ACL tear; Chuba Hubbard remains the starter</t>
        </is>
      </c>
    </row>
    <row r="102">
      <c r="A102" s="3" t="inlineStr"/>
      <c r="B102" s="3" t="n">
        <v>99</v>
      </c>
      <c r="C102" s="3" t="n">
        <v>6</v>
      </c>
      <c r="D102" s="3" t="inlineStr">
        <is>
          <t>Tier 6</t>
        </is>
      </c>
      <c r="E102" s="4" t="inlineStr">
        <is>
          <t>TE</t>
        </is>
      </c>
      <c r="F102" s="3" t="n">
        <v>15</v>
      </c>
      <c r="G102" s="3" t="n">
        <v>6</v>
      </c>
      <c r="H102" s="4" t="inlineStr">
        <is>
          <t>Jake Ferguson</t>
        </is>
      </c>
      <c r="I102" s="4" t="inlineStr">
        <is>
          <t>DAL</t>
        </is>
      </c>
      <c r="J102" s="3" t="n">
        <v>14</v>
      </c>
      <c r="K102" s="4" t="inlineStr"/>
      <c r="L102" s="17" t="inlineStr">
        <is>
          <t>Soft</t>
        </is>
      </c>
      <c r="M102" s="4" t="inlineStr"/>
      <c r="N102" s="3" t="n">
        <v>125.2</v>
      </c>
      <c r="O102" s="10" t="n">
        <v>26.2</v>
      </c>
      <c r="P102" s="3" t="n">
        <v>0</v>
      </c>
      <c r="Q102" s="4" t="inlineStr"/>
      <c r="R102" s="8" t="inlineStr">
        <is>
          <t>ECR-ranked; no dedicated situational research yet -- verify news/depth chart closer to draft time.</t>
        </is>
      </c>
    </row>
    <row r="103">
      <c r="A103" s="3" t="inlineStr"/>
      <c r="B103" s="3" t="n">
        <v>100</v>
      </c>
      <c r="C103" s="3" t="n">
        <v>6</v>
      </c>
      <c r="D103" s="3" t="inlineStr">
        <is>
          <t>Tier 6</t>
        </is>
      </c>
      <c r="E103" s="4" t="inlineStr">
        <is>
          <t>RB</t>
        </is>
      </c>
      <c r="F103" s="3" t="n">
        <v>31</v>
      </c>
      <c r="G103" s="3" t="n">
        <v>6</v>
      </c>
      <c r="H103" s="4" t="inlineStr">
        <is>
          <t>Rico Dowdle</t>
        </is>
      </c>
      <c r="I103" s="4" t="inlineStr">
        <is>
          <t>PIT</t>
        </is>
      </c>
      <c r="J103" s="3" t="n">
        <v>9</v>
      </c>
      <c r="K103" s="4" t="inlineStr"/>
      <c r="L103" s="17" t="inlineStr">
        <is>
          <t>Soft</t>
        </is>
      </c>
      <c r="M103" s="4" t="inlineStr"/>
      <c r="N103" s="3" t="n">
        <v>99.7</v>
      </c>
      <c r="O103" s="3" t="n">
        <v>-0.3</v>
      </c>
      <c r="P103" s="3" t="n">
        <v>-0.9</v>
      </c>
      <c r="Q103" s="16" t="inlineStr">
        <is>
          <t>BUST</t>
        </is>
      </c>
      <c r="R103" s="8" t="inlineStr">
        <is>
          <t>Collapsed over final 9 games (3.2 YPC) as the lead-ish back -- also Warren's direct handcuff</t>
        </is>
      </c>
    </row>
    <row r="104">
      <c r="A104" s="3" t="inlineStr"/>
      <c r="B104" s="3" t="n">
        <v>101</v>
      </c>
      <c r="C104" s="3" t="n">
        <v>6</v>
      </c>
      <c r="D104" s="3" t="inlineStr">
        <is>
          <t>Tier 6</t>
        </is>
      </c>
      <c r="E104" s="4" t="inlineStr">
        <is>
          <t>WR</t>
        </is>
      </c>
      <c r="F104" s="3" t="n">
        <v>35</v>
      </c>
      <c r="G104" s="3" t="n">
        <v>6</v>
      </c>
      <c r="H104" s="4" t="inlineStr">
        <is>
          <t>Chris Godwin</t>
        </is>
      </c>
      <c r="I104" s="4" t="inlineStr">
        <is>
          <t>TB</t>
        </is>
      </c>
      <c r="J104" s="3" t="n">
        <v>10</v>
      </c>
      <c r="K104" s="12" t="inlineStr">
        <is>
          <t>YES</t>
        </is>
      </c>
      <c r="L104" s="9" t="inlineStr">
        <is>
          <t>Gauntlet</t>
        </is>
      </c>
      <c r="M104" s="4" t="inlineStr"/>
      <c r="N104" s="3" t="n">
        <v>101.3</v>
      </c>
      <c r="O104" s="3" t="n">
        <v>0.3</v>
      </c>
      <c r="P104" s="3" t="n">
        <v>-0.9</v>
      </c>
      <c r="Q104" s="21" t="inlineStr">
        <is>
          <t>DEPTH</t>
        </is>
      </c>
      <c r="R104" s="8" t="inlineStr">
        <is>
          <t>Contract year; steady Tampa Bay starter</t>
        </is>
      </c>
    </row>
    <row r="105">
      <c r="A105" s="3" t="inlineStr"/>
      <c r="B105" s="3" t="n">
        <v>102</v>
      </c>
      <c r="C105" s="3" t="n">
        <v>6</v>
      </c>
      <c r="D105" s="3" t="inlineStr">
        <is>
          <t>Tier 6</t>
        </is>
      </c>
      <c r="E105" s="4" t="inlineStr">
        <is>
          <t>WR</t>
        </is>
      </c>
      <c r="F105" s="3" t="n">
        <v>36</v>
      </c>
      <c r="G105" s="3" t="n">
        <v>6</v>
      </c>
      <c r="H105" s="4" t="inlineStr">
        <is>
          <t>Courtland Sutton</t>
        </is>
      </c>
      <c r="I105" s="4" t="inlineStr">
        <is>
          <t>DEN</t>
        </is>
      </c>
      <c r="J105" s="3" t="n">
        <v>10</v>
      </c>
      <c r="K105" s="4" t="inlineStr"/>
      <c r="L105" s="17" t="inlineStr">
        <is>
          <t>Soft</t>
        </is>
      </c>
      <c r="M105" s="4" t="inlineStr"/>
      <c r="N105" s="3" t="n">
        <v>101.5</v>
      </c>
      <c r="O105" s="3" t="n">
        <v>-0.5</v>
      </c>
      <c r="P105" s="3" t="n">
        <v>-1.7</v>
      </c>
      <c r="Q105" s="16" t="inlineStr">
        <is>
          <t>BUST</t>
        </is>
      </c>
      <c r="R105" s="8" t="inlineStr">
        <is>
          <t>Jaylen Waddle's arrival mirrors past attempts to feature other WRs; turns 31</t>
        </is>
      </c>
    </row>
    <row r="106">
      <c r="A106" s="3" t="inlineStr"/>
      <c r="B106" s="3" t="n">
        <v>103</v>
      </c>
      <c r="C106" s="3" t="n">
        <v>6</v>
      </c>
      <c r="D106" s="3" t="inlineStr">
        <is>
          <t>Tier 6</t>
        </is>
      </c>
      <c r="E106" s="4" t="inlineStr">
        <is>
          <t>RB</t>
        </is>
      </c>
      <c r="F106" s="3" t="n">
        <v>32</v>
      </c>
      <c r="G106" s="3" t="n">
        <v>6</v>
      </c>
      <c r="H106" s="4" t="inlineStr">
        <is>
          <t>J.K. Dobbins</t>
        </is>
      </c>
      <c r="I106" s="4" t="inlineStr">
        <is>
          <t>DEN</t>
        </is>
      </c>
      <c r="J106" s="3" t="n">
        <v>10</v>
      </c>
      <c r="K106" s="4" t="inlineStr"/>
      <c r="L106" s="9" t="inlineStr">
        <is>
          <t>Gauntlet</t>
        </is>
      </c>
      <c r="M106" s="4" t="inlineStr"/>
      <c r="N106" s="3" t="n">
        <v>104.9</v>
      </c>
      <c r="O106" s="3" t="n">
        <v>1.9</v>
      </c>
      <c r="P106" s="3" t="n">
        <v>-1.7</v>
      </c>
      <c r="Q106" s="4" t="inlineStr"/>
      <c r="R106" s="8" t="inlineStr">
        <is>
          <t>ECR-ranked; no dedicated situational research yet -- verify news/depth chart closer to draft time.</t>
        </is>
      </c>
    </row>
    <row r="107">
      <c r="A107" s="3" t="inlineStr"/>
      <c r="B107" s="3" t="n">
        <v>104</v>
      </c>
      <c r="C107" s="3" t="n">
        <v>6</v>
      </c>
      <c r="D107" s="3" t="inlineStr">
        <is>
          <t>Tier 6</t>
        </is>
      </c>
      <c r="E107" s="4" t="inlineStr">
        <is>
          <t>TE</t>
        </is>
      </c>
      <c r="F107" s="3" t="n">
        <v>16</v>
      </c>
      <c r="G107" s="3" t="n">
        <v>6</v>
      </c>
      <c r="H107" s="4" t="inlineStr">
        <is>
          <t>Juwan Johnson</t>
        </is>
      </c>
      <c r="I107" s="4" t="inlineStr">
        <is>
          <t>NO</t>
        </is>
      </c>
      <c r="J107" s="3" t="n">
        <v>8</v>
      </c>
      <c r="K107" s="4" t="inlineStr"/>
      <c r="L107" s="17" t="inlineStr">
        <is>
          <t>Soft</t>
        </is>
      </c>
      <c r="M107" s="4" t="inlineStr"/>
      <c r="N107" s="3" t="n">
        <v>148.9</v>
      </c>
      <c r="O107" s="10" t="n">
        <v>44.9</v>
      </c>
      <c r="P107" s="3" t="n">
        <v>-2</v>
      </c>
      <c r="Q107" s="4" t="inlineStr"/>
      <c r="R107" s="8" t="inlineStr">
        <is>
          <t>ECR-ranked; no dedicated situational research yet -- verify news/depth chart closer to draft time.</t>
        </is>
      </c>
    </row>
    <row r="108">
      <c r="A108" s="3" t="inlineStr"/>
      <c r="B108" s="3" t="n">
        <v>105</v>
      </c>
      <c r="C108" s="3" t="n">
        <v>6</v>
      </c>
      <c r="D108" s="3" t="inlineStr">
        <is>
          <t>Tier 6</t>
        </is>
      </c>
      <c r="E108" s="4" t="inlineStr">
        <is>
          <t>QB</t>
        </is>
      </c>
      <c r="F108" s="3" t="n">
        <v>21</v>
      </c>
      <c r="G108" s="3" t="n">
        <v>6</v>
      </c>
      <c r="H108" s="4" t="inlineStr">
        <is>
          <t>Malik Willis</t>
        </is>
      </c>
      <c r="I108" s="4" t="inlineStr">
        <is>
          <t>MIA</t>
        </is>
      </c>
      <c r="J108" s="3" t="n">
        <v>6</v>
      </c>
      <c r="K108" s="4" t="inlineStr"/>
      <c r="L108" s="13" t="inlineStr">
        <is>
          <t>Tough</t>
        </is>
      </c>
      <c r="M108" s="6" t="inlineStr">
        <is>
          <t>Superflex Depth</t>
        </is>
      </c>
      <c r="N108" s="3" t="n">
        <v>106.6</v>
      </c>
      <c r="O108" s="3" t="n">
        <v>1.6</v>
      </c>
      <c r="P108" s="3" t="n">
        <v>-2.4</v>
      </c>
      <c r="Q108" s="20" t="inlineStr">
        <is>
          <t>SLEEPER</t>
        </is>
      </c>
      <c r="R108" s="8" t="inlineStr">
        <is>
          <t>Won Miami's job under an entirely new coaching staff; rushing ceiling</t>
        </is>
      </c>
    </row>
    <row r="109">
      <c r="A109" s="3" t="inlineStr"/>
      <c r="B109" s="3" t="n">
        <v>106</v>
      </c>
      <c r="C109" s="3" t="n">
        <v>6</v>
      </c>
      <c r="D109" s="3" t="inlineStr">
        <is>
          <t>Tier 6</t>
        </is>
      </c>
      <c r="E109" s="4" t="inlineStr">
        <is>
          <t>WR</t>
        </is>
      </c>
      <c r="F109" s="3" t="n">
        <v>37</v>
      </c>
      <c r="G109" s="3" t="n">
        <v>6</v>
      </c>
      <c r="H109" s="4" t="inlineStr">
        <is>
          <t>Quentin Johnston</t>
        </is>
      </c>
      <c r="I109" s="4" t="inlineStr">
        <is>
          <t>LAC</t>
        </is>
      </c>
      <c r="J109" s="3" t="n">
        <v>7</v>
      </c>
      <c r="K109" s="12" t="inlineStr">
        <is>
          <t>YES</t>
        </is>
      </c>
      <c r="L109" s="13" t="inlineStr">
        <is>
          <t>Tough</t>
        </is>
      </c>
      <c r="M109" s="4" t="inlineStr"/>
      <c r="N109" s="3" t="n">
        <v>121.3</v>
      </c>
      <c r="O109" s="10" t="n">
        <v>15.3</v>
      </c>
      <c r="P109" s="3" t="n">
        <v>-2.6</v>
      </c>
      <c r="Q109" s="21" t="inlineStr">
        <is>
          <t>DEPTH</t>
        </is>
      </c>
      <c r="R109" s="8" t="inlineStr">
        <is>
          <t>Contract year; Chargers WR3</t>
        </is>
      </c>
    </row>
    <row r="110">
      <c r="A110" s="3" t="inlineStr"/>
      <c r="B110" s="3" t="n">
        <v>107</v>
      </c>
      <c r="C110" s="3" t="n">
        <v>6</v>
      </c>
      <c r="D110" s="3" t="inlineStr">
        <is>
          <t>Tier 6</t>
        </is>
      </c>
      <c r="E110" s="4" t="inlineStr">
        <is>
          <t>RB</t>
        </is>
      </c>
      <c r="F110" s="3" t="n">
        <v>33</v>
      </c>
      <c r="G110" s="3" t="n">
        <v>6</v>
      </c>
      <c r="H110" s="4" t="inlineStr">
        <is>
          <t>Blake Corum</t>
        </is>
      </c>
      <c r="I110" s="4" t="inlineStr">
        <is>
          <t>LAR</t>
        </is>
      </c>
      <c r="J110" s="3" t="n">
        <v>11</v>
      </c>
      <c r="K110" s="4" t="inlineStr"/>
      <c r="L110" s="11" t="inlineStr">
        <is>
          <t>Neutral</t>
        </is>
      </c>
      <c r="M110" s="4" t="inlineStr"/>
      <c r="N110" s="3" t="n">
        <v>111.4</v>
      </c>
      <c r="O110" s="3" t="n">
        <v>4.4</v>
      </c>
      <c r="P110" s="3" t="n">
        <v>-2.6</v>
      </c>
      <c r="Q110" s="23" t="inlineStr">
        <is>
          <t>HANDCUFF</t>
        </is>
      </c>
      <c r="R110" s="8" t="inlineStr">
        <is>
          <t>Backs up Kyren Williams after a 5.1 YPC season</t>
        </is>
      </c>
    </row>
    <row r="111">
      <c r="A111" s="3" t="inlineStr"/>
      <c r="B111" s="3" t="n">
        <v>108</v>
      </c>
      <c r="C111" s="3" t="n">
        <v>7</v>
      </c>
      <c r="D111" s="3" t="inlineStr">
        <is>
          <t>Tier 7</t>
        </is>
      </c>
      <c r="E111" s="4" t="inlineStr">
        <is>
          <t>WR</t>
        </is>
      </c>
      <c r="F111" s="3" t="n">
        <v>38</v>
      </c>
      <c r="G111" s="3" t="n">
        <v>6</v>
      </c>
      <c r="H111" s="4" t="inlineStr">
        <is>
          <t>Michael Pittman Jr.</t>
        </is>
      </c>
      <c r="I111" s="4" t="inlineStr">
        <is>
          <t>PIT</t>
        </is>
      </c>
      <c r="J111" s="3" t="n">
        <v>9</v>
      </c>
      <c r="K111" s="12" t="inlineStr">
        <is>
          <t>YES</t>
        </is>
      </c>
      <c r="L111" s="13" t="inlineStr">
        <is>
          <t>Tough</t>
        </is>
      </c>
      <c r="M111" s="4" t="inlineStr"/>
      <c r="N111" s="3" t="n">
        <v>112.5</v>
      </c>
      <c r="O111" s="3" t="n">
        <v>4.5</v>
      </c>
      <c r="P111" s="3" t="n">
        <v>-3.4</v>
      </c>
      <c r="Q111" s="18" t="inlineStr">
        <is>
          <t>FLOOR</t>
        </is>
      </c>
      <c r="R111" s="8" t="inlineStr">
        <is>
          <t>NEW 8/30: traded from Indianapolis to Pittsburgh, signed a 3yr/$59M extension there -- presumptive #2 behind DK Metcalf, but capped ceiling in a low-volume passing offense</t>
        </is>
      </c>
    </row>
    <row r="112">
      <c r="A112" s="3" t="inlineStr"/>
      <c r="B112" s="3" t="n">
        <v>109</v>
      </c>
      <c r="C112" s="3" t="n">
        <v>7</v>
      </c>
      <c r="D112" s="3" t="inlineStr">
        <is>
          <t>Tier 7</t>
        </is>
      </c>
      <c r="E112" s="4" t="inlineStr">
        <is>
          <t>RB</t>
        </is>
      </c>
      <c r="F112" s="3" t="n">
        <v>34</v>
      </c>
      <c r="G112" s="3" t="n">
        <v>6</v>
      </c>
      <c r="H112" s="4" t="inlineStr">
        <is>
          <t>Chuba Hubbard</t>
        </is>
      </c>
      <c r="I112" s="4" t="inlineStr">
        <is>
          <t>CAR</t>
        </is>
      </c>
      <c r="J112" s="3" t="n">
        <v>5</v>
      </c>
      <c r="K112" s="4" t="inlineStr"/>
      <c r="L112" s="17" t="inlineStr">
        <is>
          <t>Soft</t>
        </is>
      </c>
      <c r="M112" s="4" t="inlineStr"/>
      <c r="N112" s="3" t="n">
        <v>112</v>
      </c>
      <c r="O112" s="3" t="n">
        <v>3</v>
      </c>
      <c r="P112" s="3" t="n">
        <v>-3.5</v>
      </c>
      <c r="Q112" s="4" t="inlineStr"/>
      <c r="R112" s="8" t="inlineStr">
        <is>
          <t>ECR-ranked; no dedicated situational research yet -- verify news/depth chart closer to draft time.</t>
        </is>
      </c>
    </row>
    <row r="113">
      <c r="A113" s="3" t="inlineStr"/>
      <c r="B113" s="3" t="n">
        <v>110</v>
      </c>
      <c r="C113" s="3" t="n">
        <v>7</v>
      </c>
      <c r="D113" s="3" t="inlineStr">
        <is>
          <t>Tier 7</t>
        </is>
      </c>
      <c r="E113" s="4" t="inlineStr">
        <is>
          <t>TE</t>
        </is>
      </c>
      <c r="F113" s="3" t="n">
        <v>17</v>
      </c>
      <c r="G113" s="3" t="n">
        <v>6</v>
      </c>
      <c r="H113" s="4" t="inlineStr">
        <is>
          <t>Hunter Henry</t>
        </is>
      </c>
      <c r="I113" s="4" t="inlineStr">
        <is>
          <t>NE</t>
        </is>
      </c>
      <c r="J113" s="3" t="n">
        <v>11</v>
      </c>
      <c r="K113" s="4" t="inlineStr"/>
      <c r="L113" s="11" t="inlineStr">
        <is>
          <t>Neutral</t>
        </is>
      </c>
      <c r="M113" s="4" t="inlineStr"/>
      <c r="N113" s="3" t="n">
        <v>148.6</v>
      </c>
      <c r="O113" s="10" t="n">
        <v>38.6</v>
      </c>
      <c r="P113" s="3" t="n">
        <v>-3.7</v>
      </c>
      <c r="Q113" s="4" t="inlineStr"/>
      <c r="R113" s="8" t="inlineStr">
        <is>
          <t>ECR-ranked; no dedicated situational research yet -- verify news/depth chart closer to draft time.</t>
        </is>
      </c>
    </row>
    <row r="114">
      <c r="A114" s="3" t="inlineStr"/>
      <c r="B114" s="3" t="n">
        <v>111</v>
      </c>
      <c r="C114" s="3" t="n">
        <v>7</v>
      </c>
      <c r="D114" s="3" t="inlineStr">
        <is>
          <t>Tier 7</t>
        </is>
      </c>
      <c r="E114" s="4" t="inlineStr">
        <is>
          <t>RB</t>
        </is>
      </c>
      <c r="F114" s="3" t="n">
        <v>35</v>
      </c>
      <c r="G114" s="3" t="n">
        <v>6</v>
      </c>
      <c r="H114" s="4" t="inlineStr">
        <is>
          <t>Jacory Croskey-Merritt</t>
        </is>
      </c>
      <c r="I114" s="4" t="inlineStr">
        <is>
          <t>WAS</t>
        </is>
      </c>
      <c r="J114" s="3" t="n">
        <v>7</v>
      </c>
      <c r="K114" s="4" t="inlineStr"/>
      <c r="L114" s="13" t="inlineStr">
        <is>
          <t>Tough</t>
        </is>
      </c>
      <c r="M114" s="4" t="inlineStr"/>
      <c r="N114" s="3" t="n">
        <v>117.9</v>
      </c>
      <c r="O114" s="15" t="n">
        <v>6.9</v>
      </c>
      <c r="P114" s="3" t="n">
        <v>-4</v>
      </c>
      <c r="Q114" s="4" t="inlineStr"/>
      <c r="R114" s="8" t="inlineStr">
        <is>
          <t>ECR-ranked; no dedicated situational research yet -- verify news/depth chart closer to draft time.</t>
        </is>
      </c>
    </row>
    <row r="115">
      <c r="A115" s="3" t="inlineStr"/>
      <c r="B115" s="3" t="n">
        <v>112</v>
      </c>
      <c r="C115" s="3" t="n">
        <v>7</v>
      </c>
      <c r="D115" s="3" t="inlineStr">
        <is>
          <t>Tier 7</t>
        </is>
      </c>
      <c r="E115" s="4" t="inlineStr">
        <is>
          <t>WR</t>
        </is>
      </c>
      <c r="F115" s="3" t="n">
        <v>39</v>
      </c>
      <c r="G115" s="3" t="n">
        <v>6</v>
      </c>
      <c r="H115" s="4" t="inlineStr">
        <is>
          <t>Michael Wilson</t>
        </is>
      </c>
      <c r="I115" s="4" t="inlineStr">
        <is>
          <t>ARI</t>
        </is>
      </c>
      <c r="J115" s="3" t="n">
        <v>14</v>
      </c>
      <c r="K115" s="4" t="inlineStr"/>
      <c r="L115" s="13" t="inlineStr">
        <is>
          <t>Tough</t>
        </is>
      </c>
      <c r="M115" s="4" t="inlineStr"/>
      <c r="N115" s="3" t="n">
        <v>102.3</v>
      </c>
      <c r="O115" s="19" t="n">
        <v>-9.699999999999999</v>
      </c>
      <c r="P115" s="3" t="n">
        <v>-4</v>
      </c>
      <c r="Q115" s="16" t="inlineStr">
        <is>
          <t>BUST</t>
        </is>
      </c>
      <c r="R115" s="8" t="inlineStr">
        <is>
          <t>New OC shifts scheme; 3rd option behind Harrison Jr. and McBride</t>
        </is>
      </c>
    </row>
    <row r="116">
      <c r="A116" s="3" t="inlineStr"/>
      <c r="B116" s="3" t="n">
        <v>113</v>
      </c>
      <c r="C116" s="3" t="n">
        <v>7</v>
      </c>
      <c r="D116" s="3" t="inlineStr">
        <is>
          <t>Tier 7</t>
        </is>
      </c>
      <c r="E116" s="4" t="inlineStr">
        <is>
          <t>WR</t>
        </is>
      </c>
      <c r="F116" s="3" t="n">
        <v>40</v>
      </c>
      <c r="G116" s="3" t="n">
        <v>6</v>
      </c>
      <c r="H116" s="4" t="inlineStr">
        <is>
          <t>Alec Pierce</t>
        </is>
      </c>
      <c r="I116" s="4" t="inlineStr">
        <is>
          <t>IND</t>
        </is>
      </c>
      <c r="J116" s="3" t="n">
        <v>13</v>
      </c>
      <c r="K116" s="4" t="inlineStr"/>
      <c r="L116" s="17" t="inlineStr">
        <is>
          <t>Soft</t>
        </is>
      </c>
      <c r="M116" s="4" t="inlineStr"/>
      <c r="N116" s="3" t="n">
        <v>112.6</v>
      </c>
      <c r="O116" s="3" t="n">
        <v>-0.4</v>
      </c>
      <c r="P116" s="3" t="n">
        <v>-4.1</v>
      </c>
      <c r="Q116" s="16" t="inlineStr">
        <is>
          <t>BUST</t>
        </is>
      </c>
      <c r="R116" s="8" t="inlineStr">
        <is>
          <t>Ankle injury complications, no clear return timeline</t>
        </is>
      </c>
    </row>
    <row r="117">
      <c r="A117" s="3" t="inlineStr"/>
      <c r="B117" s="3" t="n">
        <v>114</v>
      </c>
      <c r="C117" s="3" t="n">
        <v>7</v>
      </c>
      <c r="D117" s="3" t="inlineStr">
        <is>
          <t>Tier 7</t>
        </is>
      </c>
      <c r="E117" s="4" t="inlineStr">
        <is>
          <t>RB</t>
        </is>
      </c>
      <c r="F117" s="3" t="n">
        <v>36</v>
      </c>
      <c r="G117" s="3" t="n">
        <v>6</v>
      </c>
      <c r="H117" s="4" t="inlineStr">
        <is>
          <t>RJ Harvey</t>
        </is>
      </c>
      <c r="I117" s="4" t="inlineStr">
        <is>
          <t>DEN</t>
        </is>
      </c>
      <c r="J117" s="3" t="n">
        <v>10</v>
      </c>
      <c r="K117" s="4" t="inlineStr"/>
      <c r="L117" s="9" t="inlineStr">
        <is>
          <t>Gauntlet</t>
        </is>
      </c>
      <c r="M117" s="4" t="inlineStr"/>
      <c r="N117" s="3" t="n">
        <v>103.3</v>
      </c>
      <c r="O117" s="19" t="n">
        <v>-10.7</v>
      </c>
      <c r="P117" s="3" t="n">
        <v>-4.6</v>
      </c>
      <c r="Q117" s="4" t="inlineStr"/>
      <c r="R117" s="8" t="inlineStr">
        <is>
          <t>ECR-ranked; no dedicated situational research yet -- verify news/depth chart closer to draft time.</t>
        </is>
      </c>
    </row>
    <row r="118">
      <c r="A118" s="3" t="inlineStr"/>
      <c r="B118" s="3" t="n">
        <v>115</v>
      </c>
      <c r="C118" s="3" t="n">
        <v>7</v>
      </c>
      <c r="D118" s="3" t="inlineStr">
        <is>
          <t>Tier 7</t>
        </is>
      </c>
      <c r="E118" s="4" t="inlineStr">
        <is>
          <t>QB</t>
        </is>
      </c>
      <c r="F118" s="3" t="n">
        <v>22</v>
      </c>
      <c r="G118" s="3" t="n">
        <v>6</v>
      </c>
      <c r="H118" s="4" t="inlineStr">
        <is>
          <t>Sam Darnold</t>
        </is>
      </c>
      <c r="I118" s="4" t="inlineStr">
        <is>
          <t>SEA</t>
        </is>
      </c>
      <c r="J118" s="3" t="n">
        <v>11</v>
      </c>
      <c r="K118" s="4" t="inlineStr"/>
      <c r="L118" s="11" t="inlineStr">
        <is>
          <t>Neutral</t>
        </is>
      </c>
      <c r="M118" s="6" t="inlineStr">
        <is>
          <t>Superflex Depth</t>
        </is>
      </c>
      <c r="N118" s="3" t="n">
        <v>96.09999999999999</v>
      </c>
      <c r="O118" s="22" t="n">
        <v>-18.9</v>
      </c>
      <c r="P118" s="3" t="n">
        <v>-4.8</v>
      </c>
      <c r="Q118" s="4" t="inlineStr"/>
      <c r="R118" s="8" t="inlineStr">
        <is>
          <t>ECR-ranked; no dedicated situational research yet -- verify news/depth chart closer to draft time.</t>
        </is>
      </c>
    </row>
    <row r="119">
      <c r="A119" s="3" t="inlineStr"/>
      <c r="B119" s="3" t="n">
        <v>116</v>
      </c>
      <c r="C119" s="3" t="n">
        <v>7</v>
      </c>
      <c r="D119" s="3" t="inlineStr">
        <is>
          <t>Tier 7</t>
        </is>
      </c>
      <c r="E119" s="4" t="inlineStr">
        <is>
          <t>TE</t>
        </is>
      </c>
      <c r="F119" s="3" t="n">
        <v>18</v>
      </c>
      <c r="G119" s="3" t="n">
        <v>6</v>
      </c>
      <c r="H119" s="4" t="inlineStr">
        <is>
          <t>Chig Okonkwo</t>
        </is>
      </c>
      <c r="I119" s="4" t="inlineStr">
        <is>
          <t>WAS</t>
        </is>
      </c>
      <c r="J119" s="3" t="n">
        <v>7</v>
      </c>
      <c r="K119" s="4" t="inlineStr"/>
      <c r="L119" s="17" t="inlineStr">
        <is>
          <t>Soft</t>
        </is>
      </c>
      <c r="M119" s="4" t="inlineStr"/>
      <c r="N119" s="3" t="n">
        <v>161.8</v>
      </c>
      <c r="O119" s="10" t="n">
        <v>45.8</v>
      </c>
      <c r="P119" s="3" t="n">
        <v>-5.5</v>
      </c>
      <c r="Q119" s="4" t="inlineStr"/>
      <c r="R119" s="8" t="inlineStr">
        <is>
          <t>ECR-ranked; no dedicated situational research yet -- verify news/depth chart closer to draft time.</t>
        </is>
      </c>
    </row>
    <row r="120">
      <c r="A120" s="3" t="inlineStr"/>
      <c r="B120" s="3" t="n">
        <v>117</v>
      </c>
      <c r="C120" s="3" t="n">
        <v>7</v>
      </c>
      <c r="D120" s="3" t="inlineStr">
        <is>
          <t>Tier 7</t>
        </is>
      </c>
      <c r="E120" s="4" t="inlineStr">
        <is>
          <t>RB</t>
        </is>
      </c>
      <c r="F120" s="3" t="n">
        <v>37</v>
      </c>
      <c r="G120" s="3" t="n">
        <v>6</v>
      </c>
      <c r="H120" s="4" t="inlineStr">
        <is>
          <t>Jordan Mason</t>
        </is>
      </c>
      <c r="I120" s="4" t="inlineStr">
        <is>
          <t>MIN</t>
        </is>
      </c>
      <c r="J120" s="3" t="n">
        <v>6</v>
      </c>
      <c r="K120" s="4" t="inlineStr"/>
      <c r="L120" s="17" t="inlineStr">
        <is>
          <t>Soft</t>
        </is>
      </c>
      <c r="M120" s="4" t="inlineStr"/>
      <c r="N120" s="3" t="n">
        <v>113</v>
      </c>
      <c r="O120" s="3" t="n">
        <v>-4</v>
      </c>
      <c r="P120" s="3" t="n">
        <v>-5.7</v>
      </c>
      <c r="Q120" s="4" t="inlineStr"/>
      <c r="R120" s="8" t="inlineStr">
        <is>
          <t>ECR-ranked; no dedicated situational research yet -- verify news/depth chart closer to draft time.</t>
        </is>
      </c>
    </row>
    <row r="121">
      <c r="A121" s="3" t="inlineStr"/>
      <c r="B121" s="3" t="n">
        <v>118</v>
      </c>
      <c r="C121" s="3" t="n">
        <v>7</v>
      </c>
      <c r="D121" s="3" t="inlineStr">
        <is>
          <t>Tier 7</t>
        </is>
      </c>
      <c r="E121" s="4" t="inlineStr">
        <is>
          <t>WR</t>
        </is>
      </c>
      <c r="F121" s="3" t="n">
        <v>41</v>
      </c>
      <c r="G121" s="3" t="n">
        <v>6</v>
      </c>
      <c r="H121" s="4" t="inlineStr">
        <is>
          <t>Josh Downs</t>
        </is>
      </c>
      <c r="I121" s="4" t="inlineStr">
        <is>
          <t>IND</t>
        </is>
      </c>
      <c r="J121" s="3" t="n">
        <v>13</v>
      </c>
      <c r="K121" s="12" t="inlineStr">
        <is>
          <t>YES</t>
        </is>
      </c>
      <c r="L121" s="17" t="inlineStr">
        <is>
          <t>Soft</t>
        </is>
      </c>
      <c r="M121" s="4" t="inlineStr"/>
      <c r="N121" s="3" t="n">
        <v>117.5</v>
      </c>
      <c r="O121" s="3" t="n">
        <v>-0.5</v>
      </c>
      <c r="P121" s="3" t="n">
        <v>-5.8</v>
      </c>
      <c r="Q121" s="21" t="inlineStr">
        <is>
          <t>DEPTH</t>
        </is>
      </c>
      <c r="R121" s="8" t="inlineStr">
        <is>
          <t>Contract year; Colts slot option</t>
        </is>
      </c>
    </row>
    <row r="122">
      <c r="A122" s="3" t="inlineStr"/>
      <c r="B122" s="3" t="n">
        <v>119</v>
      </c>
      <c r="C122" s="3" t="n">
        <v>7</v>
      </c>
      <c r="D122" s="3" t="inlineStr">
        <is>
          <t>Tier 7</t>
        </is>
      </c>
      <c r="E122" s="4" t="inlineStr">
        <is>
          <t>WR</t>
        </is>
      </c>
      <c r="F122" s="3" t="n">
        <v>42</v>
      </c>
      <c r="G122" s="3" t="n">
        <v>6</v>
      </c>
      <c r="H122" s="4" t="inlineStr">
        <is>
          <t>Wan'Dale Robinson</t>
        </is>
      </c>
      <c r="I122" s="4" t="inlineStr">
        <is>
          <t>TEN</t>
        </is>
      </c>
      <c r="J122" s="3" t="n">
        <v>9</v>
      </c>
      <c r="K122" s="4" t="inlineStr"/>
      <c r="L122" s="11" t="inlineStr">
        <is>
          <t>Neutral</t>
        </is>
      </c>
      <c r="M122" s="4" t="inlineStr"/>
      <c r="N122" s="3" t="n">
        <v>124.4</v>
      </c>
      <c r="O122" s="15" t="n">
        <v>5.4</v>
      </c>
      <c r="P122" s="3" t="n">
        <v>-6.2</v>
      </c>
      <c r="Q122" s="4" t="inlineStr"/>
      <c r="R122" s="8" t="inlineStr">
        <is>
          <t>ECR-ranked; no dedicated situational research yet -- verify news/depth chart closer to draft time.</t>
        </is>
      </c>
    </row>
    <row r="123">
      <c r="A123" s="3" t="inlineStr"/>
      <c r="B123" s="3" t="n">
        <v>120</v>
      </c>
      <c r="C123" s="3" t="n">
        <v>7</v>
      </c>
      <c r="D123" s="3" t="inlineStr">
        <is>
          <t>Tier 7</t>
        </is>
      </c>
      <c r="E123" s="4" t="inlineStr">
        <is>
          <t>RB</t>
        </is>
      </c>
      <c r="F123" s="3" t="n">
        <v>38</v>
      </c>
      <c r="G123" s="3" t="n">
        <v>6</v>
      </c>
      <c r="H123" s="4" t="inlineStr">
        <is>
          <t>Kenny Gainwell</t>
        </is>
      </c>
      <c r="I123" s="4" t="inlineStr">
        <is>
          <t>TB</t>
        </is>
      </c>
      <c r="J123" s="3" t="n">
        <v>10</v>
      </c>
      <c r="K123" s="4" t="inlineStr"/>
      <c r="L123" s="5" t="inlineStr">
        <is>
          <t>Very Soft</t>
        </is>
      </c>
      <c r="M123" s="4" t="inlineStr"/>
      <c r="N123" s="3" t="n">
        <v>119.6</v>
      </c>
      <c r="O123" s="3" t="n">
        <v>-0.4</v>
      </c>
      <c r="P123" s="3" t="n">
        <v>-6.4</v>
      </c>
      <c r="Q123" s="23" t="inlineStr">
        <is>
          <t>HANDCUFF</t>
        </is>
      </c>
      <c r="R123" s="8" t="inlineStr">
        <is>
          <t>NEW 8/30: Bowles calls him Tampa's 'RB1-B' -- real passing-down role and the direct beneficiary if Irving's recently-surgically-repaired shoulder has any setback</t>
        </is>
      </c>
    </row>
    <row r="124">
      <c r="A124" s="3" t="inlineStr"/>
      <c r="B124" s="3" t="n">
        <v>121</v>
      </c>
      <c r="C124" s="3" t="n">
        <v>7</v>
      </c>
      <c r="D124" s="3" t="inlineStr">
        <is>
          <t>Tier 7</t>
        </is>
      </c>
      <c r="E124" s="4" t="inlineStr">
        <is>
          <t>WR</t>
        </is>
      </c>
      <c r="F124" s="3" t="n">
        <v>43</v>
      </c>
      <c r="G124" s="3" t="n">
        <v>6</v>
      </c>
      <c r="H124" s="4" t="inlineStr">
        <is>
          <t>Stefon Diggs</t>
        </is>
      </c>
      <c r="I124" s="4" t="inlineStr">
        <is>
          <t>WAS</t>
        </is>
      </c>
      <c r="J124" s="3" t="n">
        <v>7</v>
      </c>
      <c r="K124" s="4" t="inlineStr"/>
      <c r="L124" s="17" t="inlineStr">
        <is>
          <t>Soft</t>
        </is>
      </c>
      <c r="M124" s="4" t="inlineStr"/>
      <c r="N124" s="3" t="n">
        <v>112.4</v>
      </c>
      <c r="O124" s="19" t="n">
        <v>-8.6</v>
      </c>
      <c r="P124" s="3" t="n">
        <v>-7</v>
      </c>
      <c r="Q124" s="21" t="inlineStr">
        <is>
          <t>DEPTH</t>
        </is>
      </c>
      <c r="R124" s="8" t="inlineStr">
        <is>
          <t>Washington WR2, veteran</t>
        </is>
      </c>
    </row>
    <row r="125">
      <c r="A125" s="3" t="inlineStr"/>
      <c r="B125" s="3" t="n">
        <v>122</v>
      </c>
      <c r="C125" s="3" t="n">
        <v>7</v>
      </c>
      <c r="D125" s="3" t="inlineStr">
        <is>
          <t>Tier 7</t>
        </is>
      </c>
      <c r="E125" s="4" t="inlineStr">
        <is>
          <t>RB</t>
        </is>
      </c>
      <c r="F125" s="3" t="n">
        <v>39</v>
      </c>
      <c r="G125" s="3" t="n">
        <v>6</v>
      </c>
      <c r="H125" s="4" t="inlineStr">
        <is>
          <t>Kyle Monangai</t>
        </is>
      </c>
      <c r="I125" s="4" t="inlineStr">
        <is>
          <t>CHI</t>
        </is>
      </c>
      <c r="J125" s="3" t="n">
        <v>10</v>
      </c>
      <c r="K125" s="4" t="inlineStr"/>
      <c r="L125" s="5" t="inlineStr">
        <is>
          <t>Very Soft</t>
        </is>
      </c>
      <c r="M125" s="4" t="inlineStr"/>
      <c r="N125" s="3" t="n">
        <v>121.7</v>
      </c>
      <c r="O125" s="3" t="n">
        <v>-0.3</v>
      </c>
      <c r="P125" s="3" t="n">
        <v>-7.1</v>
      </c>
      <c r="Q125" s="23" t="inlineStr">
        <is>
          <t>HANDCUFF</t>
        </is>
      </c>
      <c r="R125" s="8" t="inlineStr">
        <is>
          <t>Backs up D'Andre Swift; strong rookie receiving role, efficiency dipped late</t>
        </is>
      </c>
    </row>
    <row r="126">
      <c r="A126" s="3" t="inlineStr"/>
      <c r="B126" s="3" t="n">
        <v>123</v>
      </c>
      <c r="C126" s="3" t="n">
        <v>7</v>
      </c>
      <c r="D126" s="3" t="inlineStr">
        <is>
          <t>Tier 7</t>
        </is>
      </c>
      <c r="E126" s="4" t="inlineStr">
        <is>
          <t>TE</t>
        </is>
      </c>
      <c r="F126" s="3" t="n">
        <v>19</v>
      </c>
      <c r="G126" s="3" t="n">
        <v>6</v>
      </c>
      <c r="H126" s="4" t="inlineStr">
        <is>
          <t>Dalton Schultz</t>
        </is>
      </c>
      <c r="I126" s="4" t="inlineStr">
        <is>
          <t>HOU</t>
        </is>
      </c>
      <c r="J126" s="3" t="n">
        <v>8</v>
      </c>
      <c r="K126" s="4" t="inlineStr"/>
      <c r="L126" s="5" t="inlineStr">
        <is>
          <t>Very Soft</t>
        </is>
      </c>
      <c r="M126" s="4" t="inlineStr"/>
      <c r="N126" s="3" t="n">
        <v>160.2</v>
      </c>
      <c r="O126" s="10" t="n">
        <v>37.2</v>
      </c>
      <c r="P126" s="3" t="n">
        <v>-7.1</v>
      </c>
      <c r="Q126" s="20" t="inlineStr">
        <is>
          <t>SLEEPER</t>
        </is>
      </c>
      <c r="R126" s="8" t="inlineStr">
        <is>
          <t>Projected 100+ targets again as Stroud's clear No. 2</t>
        </is>
      </c>
    </row>
    <row r="127">
      <c r="A127" s="3" t="inlineStr"/>
      <c r="B127" s="3" t="n">
        <v>124</v>
      </c>
      <c r="C127" s="3" t="n">
        <v>7</v>
      </c>
      <c r="D127" s="3" t="inlineStr">
        <is>
          <t>Tier 7</t>
        </is>
      </c>
      <c r="E127" s="4" t="inlineStr">
        <is>
          <t>QB</t>
        </is>
      </c>
      <c r="F127" s="3" t="n">
        <v>23</v>
      </c>
      <c r="G127" s="3" t="n">
        <v>6</v>
      </c>
      <c r="H127" s="4" t="inlineStr">
        <is>
          <t>C.J. Stroud</t>
        </is>
      </c>
      <c r="I127" s="4" t="inlineStr">
        <is>
          <t>HOU</t>
        </is>
      </c>
      <c r="J127" s="3" t="n">
        <v>8</v>
      </c>
      <c r="K127" s="4" t="inlineStr"/>
      <c r="L127" s="5" t="inlineStr">
        <is>
          <t>Very Soft</t>
        </is>
      </c>
      <c r="M127" s="6" t="inlineStr">
        <is>
          <t>Superflex Depth</t>
        </is>
      </c>
      <c r="N127" s="3" t="n">
        <v>111</v>
      </c>
      <c r="O127" s="19" t="n">
        <v>-13</v>
      </c>
      <c r="P127" s="3" t="n">
        <v>-7.3</v>
      </c>
      <c r="Q127" s="4" t="inlineStr"/>
      <c r="R127" s="8" t="inlineStr">
        <is>
          <t>ECR-ranked; no dedicated situational research yet -- verify news/depth chart closer to draft time.</t>
        </is>
      </c>
    </row>
    <row r="128">
      <c r="A128" s="3" t="inlineStr"/>
      <c r="B128" s="3" t="n">
        <v>125</v>
      </c>
      <c r="C128" s="3" t="n">
        <v>7</v>
      </c>
      <c r="D128" s="3" t="inlineStr">
        <is>
          <t>Tier 7</t>
        </is>
      </c>
      <c r="E128" s="4" t="inlineStr">
        <is>
          <t>RB</t>
        </is>
      </c>
      <c r="F128" s="3" t="n">
        <v>40</v>
      </c>
      <c r="G128" s="3" t="n">
        <v>6</v>
      </c>
      <c r="H128" s="4" t="inlineStr">
        <is>
          <t>Rachaad White</t>
        </is>
      </c>
      <c r="I128" s="4" t="inlineStr">
        <is>
          <t>WAS</t>
        </is>
      </c>
      <c r="J128" s="3" t="n">
        <v>7</v>
      </c>
      <c r="K128" s="12" t="inlineStr">
        <is>
          <t>YES</t>
        </is>
      </c>
      <c r="L128" s="13" t="inlineStr">
        <is>
          <t>Tough</t>
        </is>
      </c>
      <c r="M128" s="4" t="inlineStr"/>
      <c r="N128" s="3" t="n">
        <v>135.7</v>
      </c>
      <c r="O128" s="15" t="n">
        <v>10.7</v>
      </c>
      <c r="P128" s="3" t="n">
        <v>-7.6</v>
      </c>
      <c r="Q128" s="23" t="inlineStr">
        <is>
          <t>HANDCUFF</t>
        </is>
      </c>
      <c r="R128" s="8" t="inlineStr">
        <is>
          <t>Contract year; insurance behind Jacory Croskey-Merritt</t>
        </is>
      </c>
    </row>
    <row r="129">
      <c r="A129" s="3" t="inlineStr"/>
      <c r="B129" s="3" t="n">
        <v>126</v>
      </c>
      <c r="C129" s="3" t="n">
        <v>7</v>
      </c>
      <c r="D129" s="3" t="inlineStr">
        <is>
          <t>Tier 7</t>
        </is>
      </c>
      <c r="E129" s="4" t="inlineStr">
        <is>
          <t>WR</t>
        </is>
      </c>
      <c r="F129" s="3" t="n">
        <v>45</v>
      </c>
      <c r="G129" s="3" t="n">
        <v>6</v>
      </c>
      <c r="H129" s="4" t="inlineStr">
        <is>
          <t>Jayden Reed</t>
        </is>
      </c>
      <c r="I129" s="4" t="inlineStr">
        <is>
          <t>GB</t>
        </is>
      </c>
      <c r="J129" s="3" t="n">
        <v>11</v>
      </c>
      <c r="K129" s="4" t="inlineStr"/>
      <c r="L129" s="13" t="inlineStr">
        <is>
          <t>Tough</t>
        </is>
      </c>
      <c r="M129" s="4" t="inlineStr"/>
      <c r="N129" s="3" t="n">
        <v>112.1</v>
      </c>
      <c r="O129" s="19" t="n">
        <v>-13.9</v>
      </c>
      <c r="P129" s="3" t="n">
        <v>-7.9</v>
      </c>
      <c r="Q129" s="4" t="inlineStr"/>
      <c r="R129" s="8" t="inlineStr">
        <is>
          <t>ECR-ranked; no dedicated situational research yet -- verify news/depth chart closer to draft time.</t>
        </is>
      </c>
    </row>
    <row r="130">
      <c r="A130" s="3" t="inlineStr"/>
      <c r="B130" s="3" t="n">
        <v>127</v>
      </c>
      <c r="C130" s="3" t="n">
        <v>7</v>
      </c>
      <c r="D130" s="3" t="inlineStr">
        <is>
          <t>Tier 7</t>
        </is>
      </c>
      <c r="E130" s="4" t="inlineStr">
        <is>
          <t>WR</t>
        </is>
      </c>
      <c r="F130" s="3" t="n">
        <v>44</v>
      </c>
      <c r="G130" s="3" t="n">
        <v>6</v>
      </c>
      <c r="H130" s="4" t="inlineStr">
        <is>
          <t>Jordan Addison</t>
        </is>
      </c>
      <c r="I130" s="4" t="inlineStr">
        <is>
          <t>MIN</t>
        </is>
      </c>
      <c r="J130" s="3" t="n">
        <v>6</v>
      </c>
      <c r="K130" s="12" t="inlineStr">
        <is>
          <t>YES</t>
        </is>
      </c>
      <c r="L130" s="17" t="inlineStr">
        <is>
          <t>Soft</t>
        </is>
      </c>
      <c r="M130" s="4" t="inlineStr"/>
      <c r="N130" s="3" t="n">
        <v>116.3</v>
      </c>
      <c r="O130" s="19" t="n">
        <v>-10.7</v>
      </c>
      <c r="P130" s="3" t="n">
        <v>-8</v>
      </c>
      <c r="Q130" s="21" t="inlineStr">
        <is>
          <t>DEPTH</t>
        </is>
      </c>
      <c r="R130" s="8" t="inlineStr">
        <is>
          <t>Contract year; real WR2 in a good Vikings offense</t>
        </is>
      </c>
    </row>
    <row r="131">
      <c r="A131" s="3" t="inlineStr"/>
      <c r="B131" s="3" t="n">
        <v>128</v>
      </c>
      <c r="C131" s="3" t="n">
        <v>7</v>
      </c>
      <c r="D131" s="3" t="inlineStr">
        <is>
          <t>Tier 7</t>
        </is>
      </c>
      <c r="E131" s="4" t="inlineStr">
        <is>
          <t>TE</t>
        </is>
      </c>
      <c r="F131" s="3" t="n">
        <v>20</v>
      </c>
      <c r="G131" s="3" t="n">
        <v>6</v>
      </c>
      <c r="H131" s="4" t="inlineStr">
        <is>
          <t>Brenton Strange</t>
        </is>
      </c>
      <c r="I131" s="4" t="inlineStr">
        <is>
          <t>JAC</t>
        </is>
      </c>
      <c r="J131" s="3" t="n">
        <v>7</v>
      </c>
      <c r="K131" s="12" t="inlineStr">
        <is>
          <t>YES</t>
        </is>
      </c>
      <c r="L131" s="9" t="inlineStr">
        <is>
          <t>Gauntlet</t>
        </is>
      </c>
      <c r="M131" s="4" t="inlineStr"/>
      <c r="N131" s="3" t="n">
        <v>153</v>
      </c>
      <c r="O131" s="10" t="n">
        <v>25</v>
      </c>
      <c r="P131" s="3" t="n">
        <v>-8.300000000000001</v>
      </c>
      <c r="Q131" s="21" t="inlineStr">
        <is>
          <t>DEPTH</t>
        </is>
      </c>
      <c r="R131" s="8" t="inlineStr">
        <is>
          <t>Contract year; Jaguars starting TE</t>
        </is>
      </c>
    </row>
    <row r="132">
      <c r="A132" s="3" t="inlineStr"/>
      <c r="B132" s="3" t="n">
        <v>129</v>
      </c>
      <c r="C132" s="3" t="n">
        <v>7</v>
      </c>
      <c r="D132" s="3" t="inlineStr">
        <is>
          <t>Tier 7</t>
        </is>
      </c>
      <c r="E132" s="4" t="inlineStr">
        <is>
          <t>RB</t>
        </is>
      </c>
      <c r="F132" s="3" t="n">
        <v>42</v>
      </c>
      <c r="G132" s="3" t="n">
        <v>6</v>
      </c>
      <c r="H132" s="4" t="inlineStr">
        <is>
          <t>Chris Rodriguez Jr.</t>
        </is>
      </c>
      <c r="I132" s="4" t="inlineStr">
        <is>
          <t>JAC</t>
        </is>
      </c>
      <c r="J132" s="3" t="n">
        <v>7</v>
      </c>
      <c r="K132" s="4" t="inlineStr"/>
      <c r="L132" s="13" t="inlineStr">
        <is>
          <t>Tough</t>
        </is>
      </c>
      <c r="M132" s="4" t="inlineStr"/>
      <c r="N132" s="3" t="n">
        <v>142.9</v>
      </c>
      <c r="O132" s="15" t="n">
        <v>13.9</v>
      </c>
      <c r="P132" s="3" t="n">
        <v>-8.4</v>
      </c>
      <c r="Q132" s="4" t="inlineStr"/>
      <c r="R132" s="8" t="inlineStr">
        <is>
          <t>ECR-ranked; no dedicated situational research yet -- verify news/depth chart closer to draft time.</t>
        </is>
      </c>
    </row>
    <row r="133">
      <c r="A133" s="3" t="inlineStr"/>
      <c r="B133" s="3" t="n">
        <v>130</v>
      </c>
      <c r="C133" s="3" t="n">
        <v>7</v>
      </c>
      <c r="D133" s="3" t="inlineStr">
        <is>
          <t>Tier 7</t>
        </is>
      </c>
      <c r="E133" s="4" t="inlineStr">
        <is>
          <t>RB</t>
        </is>
      </c>
      <c r="F133" s="3" t="n">
        <v>41</v>
      </c>
      <c r="G133" s="3" t="n">
        <v>6</v>
      </c>
      <c r="H133" s="4" t="inlineStr">
        <is>
          <t>Aaron Jones</t>
        </is>
      </c>
      <c r="I133" s="4" t="inlineStr">
        <is>
          <t>MIN</t>
        </is>
      </c>
      <c r="J133" s="3" t="n">
        <v>6</v>
      </c>
      <c r="K133" s="12" t="inlineStr">
        <is>
          <t>YES</t>
        </is>
      </c>
      <c r="L133" s="17" t="inlineStr">
        <is>
          <t>Soft</t>
        </is>
      </c>
      <c r="M133" s="4" t="inlineStr"/>
      <c r="N133" s="3" t="n">
        <v>130.7</v>
      </c>
      <c r="O133" s="3" t="n">
        <v>0.7</v>
      </c>
      <c r="P133" s="3" t="n">
        <v>-8.6</v>
      </c>
      <c r="Q133" s="21" t="inlineStr">
        <is>
          <t>DEPTH</t>
        </is>
      </c>
      <c r="R133" s="8" t="inlineStr">
        <is>
          <t>Contract year; Vikings committee back</t>
        </is>
      </c>
    </row>
    <row r="134">
      <c r="A134" s="3" t="inlineStr"/>
      <c r="B134" s="3" t="n">
        <v>131</v>
      </c>
      <c r="C134" s="3" t="n">
        <v>7</v>
      </c>
      <c r="D134" s="3" t="inlineStr">
        <is>
          <t>Tier 7</t>
        </is>
      </c>
      <c r="E134" s="4" t="inlineStr">
        <is>
          <t>WR</t>
        </is>
      </c>
      <c r="F134" s="3" t="n">
        <v>47</v>
      </c>
      <c r="G134" s="3" t="n">
        <v>6</v>
      </c>
      <c r="H134" s="4" t="inlineStr">
        <is>
          <t>Jakobi Meyers</t>
        </is>
      </c>
      <c r="I134" s="4" t="inlineStr">
        <is>
          <t>JAC</t>
        </is>
      </c>
      <c r="J134" s="3" t="n">
        <v>7</v>
      </c>
      <c r="K134" s="4" t="inlineStr"/>
      <c r="L134" s="9" t="inlineStr">
        <is>
          <t>Gauntlet</t>
        </is>
      </c>
      <c r="M134" s="4" t="inlineStr"/>
      <c r="N134" s="3" t="n">
        <v>136.2</v>
      </c>
      <c r="O134" s="15" t="n">
        <v>5.2</v>
      </c>
      <c r="P134" s="3" t="n">
        <v>-8.9</v>
      </c>
      <c r="Q134" s="18" t="inlineStr">
        <is>
          <t>FLOOR</t>
        </is>
      </c>
      <c r="R134" s="8" t="inlineStr">
        <is>
          <t>NEW 8/30: traded from Las Vegas to Jacksonville; profiles as JAX's slot/possession weapon (~22-25% target share) alongside Thomas and a limited-role Travis Hunter</t>
        </is>
      </c>
    </row>
    <row r="135">
      <c r="A135" s="3" t="inlineStr"/>
      <c r="B135" s="3" t="n">
        <v>132</v>
      </c>
      <c r="C135" s="3" t="n">
        <v>7</v>
      </c>
      <c r="D135" s="3" t="inlineStr">
        <is>
          <t>Tier 7</t>
        </is>
      </c>
      <c r="E135" s="4" t="inlineStr">
        <is>
          <t>WR</t>
        </is>
      </c>
      <c r="F135" s="3" t="n">
        <v>46</v>
      </c>
      <c r="G135" s="3" t="n">
        <v>6</v>
      </c>
      <c r="H135" s="4" t="inlineStr">
        <is>
          <t>Makai Lemon</t>
        </is>
      </c>
      <c r="I135" s="4" t="inlineStr">
        <is>
          <t>PHI</t>
        </is>
      </c>
      <c r="J135" s="3" t="n">
        <v>10</v>
      </c>
      <c r="K135" s="4" t="inlineStr"/>
      <c r="L135" s="5" t="inlineStr">
        <is>
          <t>Very Soft</t>
        </is>
      </c>
      <c r="M135" s="4" t="inlineStr"/>
      <c r="N135" s="3" t="n">
        <v>113.3</v>
      </c>
      <c r="O135" s="22" t="n">
        <v>-18.7</v>
      </c>
      <c r="P135" s="3" t="n">
        <v>-9</v>
      </c>
      <c r="Q135" s="4" t="inlineStr"/>
      <c r="R135" s="8" t="inlineStr">
        <is>
          <t>ECR-ranked; no dedicated situational research yet -- verify news/depth chart closer to draft time.</t>
        </is>
      </c>
    </row>
    <row r="136">
      <c r="A136" s="3" t="inlineStr"/>
      <c r="B136" s="3" t="n">
        <v>133</v>
      </c>
      <c r="C136" s="3" t="n">
        <v>7</v>
      </c>
      <c r="D136" s="3" t="inlineStr">
        <is>
          <t>Tier 7</t>
        </is>
      </c>
      <c r="E136" s="4" t="inlineStr">
        <is>
          <t>QB</t>
        </is>
      </c>
      <c r="F136" s="3" t="n">
        <v>24</v>
      </c>
      <c r="G136" s="3" t="n">
        <v>6</v>
      </c>
      <c r="H136" s="4" t="inlineStr">
        <is>
          <t>Cam Ward</t>
        </is>
      </c>
      <c r="I136" s="4" t="inlineStr">
        <is>
          <t>TEN</t>
        </is>
      </c>
      <c r="J136" s="3" t="n">
        <v>9</v>
      </c>
      <c r="K136" s="4" t="inlineStr"/>
      <c r="L136" s="11" t="inlineStr">
        <is>
          <t>Neutral</t>
        </is>
      </c>
      <c r="M136" s="6" t="inlineStr">
        <is>
          <t>Superflex Depth</t>
        </is>
      </c>
      <c r="N136" s="3" t="n">
        <v>121.7</v>
      </c>
      <c r="O136" s="19" t="n">
        <v>-11.3</v>
      </c>
      <c r="P136" s="3" t="n">
        <v>-9.199999999999999</v>
      </c>
      <c r="Q136" s="4" t="inlineStr"/>
      <c r="R136" s="8" t="inlineStr">
        <is>
          <t>ECR-ranked; no dedicated situational research yet -- verify news/depth chart closer to draft time.</t>
        </is>
      </c>
    </row>
    <row r="137">
      <c r="A137" s="3" t="inlineStr"/>
      <c r="B137" s="3" t="n">
        <v>134</v>
      </c>
      <c r="C137" s="3" t="n">
        <v>7</v>
      </c>
      <c r="D137" s="3" t="inlineStr">
        <is>
          <t>Tier 7</t>
        </is>
      </c>
      <c r="E137" s="4" t="inlineStr">
        <is>
          <t>TE</t>
        </is>
      </c>
      <c r="F137" s="3" t="n">
        <v>21</v>
      </c>
      <c r="G137" s="3" t="n">
        <v>6</v>
      </c>
      <c r="H137" s="4" t="inlineStr">
        <is>
          <t>Terrance Ferguson</t>
        </is>
      </c>
      <c r="I137" s="4" t="inlineStr">
        <is>
          <t>LAR</t>
        </is>
      </c>
      <c r="J137" s="3" t="n">
        <v>11</v>
      </c>
      <c r="K137" s="4" t="inlineStr"/>
      <c r="L137" s="13" t="inlineStr">
        <is>
          <t>Tough</t>
        </is>
      </c>
      <c r="M137" s="4" t="inlineStr"/>
      <c r="N137" s="3" t="n">
        <v>171.9</v>
      </c>
      <c r="O137" s="10" t="n">
        <v>37.9</v>
      </c>
      <c r="P137" s="3" t="n">
        <v>-9.300000000000001</v>
      </c>
      <c r="Q137" s="4" t="inlineStr"/>
      <c r="R137" s="8" t="inlineStr">
        <is>
          <t>ECR-ranked; no dedicated situational research yet -- verify news/depth chart closer to draft time.</t>
        </is>
      </c>
    </row>
    <row r="138">
      <c r="A138" s="3" t="inlineStr"/>
      <c r="B138" s="3" t="n">
        <v>135</v>
      </c>
      <c r="C138" s="3" t="n">
        <v>7</v>
      </c>
      <c r="D138" s="3" t="inlineStr">
        <is>
          <t>Tier 7</t>
        </is>
      </c>
      <c r="E138" s="4" t="inlineStr">
        <is>
          <t>RB</t>
        </is>
      </c>
      <c r="F138" s="3" t="n">
        <v>44</v>
      </c>
      <c r="G138" s="3" t="n">
        <v>6</v>
      </c>
      <c r="H138" s="4" t="inlineStr">
        <is>
          <t>Tyler Allgeier</t>
        </is>
      </c>
      <c r="I138" s="4" t="inlineStr">
        <is>
          <t>ARI</t>
        </is>
      </c>
      <c r="J138" s="3" t="n">
        <v>14</v>
      </c>
      <c r="K138" s="4" t="inlineStr"/>
      <c r="L138" s="13" t="inlineStr">
        <is>
          <t>Tough</t>
        </is>
      </c>
      <c r="M138" s="4" t="inlineStr"/>
      <c r="N138" s="3" t="n">
        <v>145</v>
      </c>
      <c r="O138" s="15" t="n">
        <v>10</v>
      </c>
      <c r="P138" s="3" t="n">
        <v>-9.4</v>
      </c>
      <c r="Q138" s="14" t="inlineStr">
        <is>
          <t>GAMBLE</t>
        </is>
      </c>
      <c r="R138" s="8" t="inlineStr">
        <is>
          <t>UPDATED 8/30: signed with Arizona into a crowded 3-way mix with rookie Jeremiyah Love and James Conner -- one early depth chart even lists him RB1, but treat the touch split as unsettled</t>
        </is>
      </c>
    </row>
    <row r="139">
      <c r="A139" s="3" t="inlineStr"/>
      <c r="B139" s="3" t="n">
        <v>136</v>
      </c>
      <c r="C139" s="3" t="n">
        <v>7</v>
      </c>
      <c r="D139" s="3" t="inlineStr">
        <is>
          <t>Tier 7</t>
        </is>
      </c>
      <c r="E139" s="4" t="inlineStr">
        <is>
          <t>RB</t>
        </is>
      </c>
      <c r="F139" s="3" t="n">
        <v>43</v>
      </c>
      <c r="G139" s="3" t="n">
        <v>6</v>
      </c>
      <c r="H139" s="4" t="inlineStr">
        <is>
          <t>Woody Marks</t>
        </is>
      </c>
      <c r="I139" s="4" t="inlineStr">
        <is>
          <t>HOU</t>
        </is>
      </c>
      <c r="J139" s="3" t="n">
        <v>8</v>
      </c>
      <c r="K139" s="4" t="inlineStr"/>
      <c r="L139" s="5" t="inlineStr">
        <is>
          <t>Very Soft</t>
        </is>
      </c>
      <c r="M139" s="4" t="inlineStr"/>
      <c r="N139" s="3" t="n">
        <v>144.2</v>
      </c>
      <c r="O139" s="15" t="n">
        <v>8.199999999999999</v>
      </c>
      <c r="P139" s="3" t="n">
        <v>-9.5</v>
      </c>
      <c r="Q139" s="4" t="inlineStr"/>
      <c r="R139" s="8" t="inlineStr">
        <is>
          <t>ECR-ranked; no dedicated situational research yet -- verify news/depth chart closer to draft time.</t>
        </is>
      </c>
    </row>
    <row r="140">
      <c r="A140" s="3" t="inlineStr"/>
      <c r="B140" s="3" t="n">
        <v>137</v>
      </c>
      <c r="C140" s="3" t="n">
        <v>7</v>
      </c>
      <c r="D140" s="3" t="inlineStr">
        <is>
          <t>Tier 7</t>
        </is>
      </c>
      <c r="E140" s="4" t="inlineStr">
        <is>
          <t>WR</t>
        </is>
      </c>
      <c r="F140" s="3" t="n">
        <v>48</v>
      </c>
      <c r="G140" s="3" t="n">
        <v>6</v>
      </c>
      <c r="H140" s="4" t="inlineStr">
        <is>
          <t>Romeo Doubs</t>
        </is>
      </c>
      <c r="I140" s="4" t="inlineStr">
        <is>
          <t>NE</t>
        </is>
      </c>
      <c r="J140" s="3" t="n">
        <v>11</v>
      </c>
      <c r="K140" s="4" t="inlineStr"/>
      <c r="L140" s="11" t="inlineStr">
        <is>
          <t>Neutral</t>
        </is>
      </c>
      <c r="M140" s="4" t="inlineStr"/>
      <c r="N140" s="3" t="n">
        <v>140.3</v>
      </c>
      <c r="O140" s="3" t="n">
        <v>3.3</v>
      </c>
      <c r="P140" s="3" t="n">
        <v>-9.699999999999999</v>
      </c>
      <c r="Q140" s="4" t="inlineStr"/>
      <c r="R140" s="8" t="inlineStr">
        <is>
          <t>NEW 8/30: signed with New England after Green Bay passed on re-signing him (rookie Matthew Golden was ready to inherit the role) -- early-down/possession role with the Patriots now</t>
        </is>
      </c>
    </row>
    <row r="141">
      <c r="A141" s="3" t="inlineStr"/>
      <c r="B141" s="3" t="n">
        <v>138</v>
      </c>
      <c r="C141" s="3" t="n">
        <v>8</v>
      </c>
      <c r="D141" s="3" t="inlineStr">
        <is>
          <t>Tier 8</t>
        </is>
      </c>
      <c r="E141" s="4" t="inlineStr">
        <is>
          <t>WR</t>
        </is>
      </c>
      <c r="F141" s="3" t="n">
        <v>49</v>
      </c>
      <c r="G141" s="3" t="n">
        <v>6</v>
      </c>
      <c r="H141" s="4" t="inlineStr">
        <is>
          <t>Xavier Worthy</t>
        </is>
      </c>
      <c r="I141" s="4" t="inlineStr">
        <is>
          <t>KC</t>
        </is>
      </c>
      <c r="J141" s="3" t="n">
        <v>5</v>
      </c>
      <c r="K141" s="4" t="inlineStr"/>
      <c r="L141" s="11" t="inlineStr">
        <is>
          <t>Neutral</t>
        </is>
      </c>
      <c r="M141" s="4" t="inlineStr"/>
      <c r="N141" s="3" t="n">
        <v>140</v>
      </c>
      <c r="O141" s="3" t="n">
        <v>2</v>
      </c>
      <c r="P141" s="3" t="n">
        <v>-10.3</v>
      </c>
      <c r="Q141" s="20" t="inlineStr">
        <is>
          <t>SLEEPER</t>
        </is>
      </c>
      <c r="R141" s="8" t="inlineStr">
        <is>
          <t>Only 23; KC lacks depth behind Rice, value rises if Rice sits</t>
        </is>
      </c>
    </row>
    <row r="142">
      <c r="A142" s="3" t="inlineStr"/>
      <c r="B142" s="3" t="n">
        <v>139</v>
      </c>
      <c r="C142" s="3" t="n">
        <v>8</v>
      </c>
      <c r="D142" s="3" t="inlineStr">
        <is>
          <t>Tier 8</t>
        </is>
      </c>
      <c r="E142" s="4" t="inlineStr">
        <is>
          <t>TE</t>
        </is>
      </c>
      <c r="F142" s="3" t="n">
        <v>22</v>
      </c>
      <c r="G142" s="3" t="n">
        <v>6</v>
      </c>
      <c r="H142" s="4" t="inlineStr">
        <is>
          <t>AJ Barner</t>
        </is>
      </c>
      <c r="I142" s="4" t="inlineStr">
        <is>
          <t>SEA</t>
        </is>
      </c>
      <c r="J142" s="3" t="n">
        <v>11</v>
      </c>
      <c r="K142" s="4" t="inlineStr"/>
      <c r="L142" s="11" t="inlineStr">
        <is>
          <t>Neutral</t>
        </is>
      </c>
      <c r="M142" s="4" t="inlineStr"/>
      <c r="N142" s="3" t="n">
        <v>168.1</v>
      </c>
      <c r="O142" s="10" t="n">
        <v>29.1</v>
      </c>
      <c r="P142" s="3" t="n">
        <v>-10.6</v>
      </c>
      <c r="Q142" s="4" t="inlineStr"/>
      <c r="R142" s="8" t="inlineStr">
        <is>
          <t>ECR-ranked; no dedicated situational research yet -- verify news/depth chart closer to draft time.</t>
        </is>
      </c>
    </row>
    <row r="143">
      <c r="A143" s="3" t="inlineStr"/>
      <c r="B143" s="3" t="n">
        <v>140</v>
      </c>
      <c r="C143" s="3" t="n">
        <v>8</v>
      </c>
      <c r="D143" s="3" t="inlineStr">
        <is>
          <t>Tier 8</t>
        </is>
      </c>
      <c r="E143" s="4" t="inlineStr">
        <is>
          <t>RB</t>
        </is>
      </c>
      <c r="F143" s="3" t="n">
        <v>46</v>
      </c>
      <c r="G143" s="3" t="n">
        <v>6</v>
      </c>
      <c r="H143" s="4" t="inlineStr">
        <is>
          <t>Keaton Mitchell</t>
        </is>
      </c>
      <c r="I143" s="4" t="inlineStr">
        <is>
          <t>LAC</t>
        </is>
      </c>
      <c r="J143" s="3" t="n">
        <v>7</v>
      </c>
      <c r="K143" s="4" t="inlineStr"/>
      <c r="L143" s="11" t="inlineStr">
        <is>
          <t>Neutral</t>
        </is>
      </c>
      <c r="M143" s="4" t="inlineStr"/>
      <c r="N143" s="3" t="n">
        <v>158.4</v>
      </c>
      <c r="O143" s="10" t="n">
        <v>18.4</v>
      </c>
      <c r="P143" s="3" t="n">
        <v>-10.7</v>
      </c>
      <c r="Q143" s="23" t="inlineStr">
        <is>
          <t>HANDCUFF</t>
        </is>
      </c>
      <c r="R143" s="8" t="inlineStr">
        <is>
          <t>Backs up Omarion Hampton; new OC McDaniel scheme fit</t>
        </is>
      </c>
    </row>
    <row r="144">
      <c r="A144" s="3" t="inlineStr"/>
      <c r="B144" s="3" t="n">
        <v>141</v>
      </c>
      <c r="C144" s="3" t="n">
        <v>8</v>
      </c>
      <c r="D144" s="3" t="inlineStr">
        <is>
          <t>Tier 8</t>
        </is>
      </c>
      <c r="E144" s="4" t="inlineStr">
        <is>
          <t>WR</t>
        </is>
      </c>
      <c r="F144" s="3" t="n">
        <v>54</v>
      </c>
      <c r="G144" s="3" t="n">
        <v>6</v>
      </c>
      <c r="H144" s="4" t="inlineStr">
        <is>
          <t>Jordyn Tyson</t>
        </is>
      </c>
      <c r="I144" s="4" t="inlineStr">
        <is>
          <t>NO</t>
        </is>
      </c>
      <c r="J144" s="3" t="n">
        <v>8</v>
      </c>
      <c r="K144" s="4" t="inlineStr"/>
      <c r="L144" s="17" t="inlineStr">
        <is>
          <t>Soft</t>
        </is>
      </c>
      <c r="M144" s="4" t="inlineStr"/>
      <c r="N144" s="3" t="n">
        <v>130.1</v>
      </c>
      <c r="O144" s="19" t="n">
        <v>-10.9</v>
      </c>
      <c r="P144" s="3" t="n">
        <v>-11.1</v>
      </c>
      <c r="Q144" s="16" t="inlineStr">
        <is>
          <t>BUST</t>
        </is>
      </c>
      <c r="R144" s="8" t="inlineStr">
        <is>
          <t>Injured in all 4 college seasons plus a May injury</t>
        </is>
      </c>
    </row>
    <row r="145">
      <c r="A145" s="3" t="inlineStr"/>
      <c r="B145" s="3" t="n">
        <v>142</v>
      </c>
      <c r="C145" s="3" t="n">
        <v>8</v>
      </c>
      <c r="D145" s="3" t="inlineStr">
        <is>
          <t>Tier 8</t>
        </is>
      </c>
      <c r="E145" s="4" t="inlineStr">
        <is>
          <t>RB</t>
        </is>
      </c>
      <c r="F145" s="3" t="n">
        <v>45</v>
      </c>
      <c r="G145" s="3" t="n">
        <v>6</v>
      </c>
      <c r="H145" s="4" t="inlineStr">
        <is>
          <t>Tyjae Spears</t>
        </is>
      </c>
      <c r="I145" s="4" t="inlineStr">
        <is>
          <t>TEN</t>
        </is>
      </c>
      <c r="J145" s="3" t="n">
        <v>9</v>
      </c>
      <c r="K145" s="12" t="inlineStr">
        <is>
          <t>YES</t>
        </is>
      </c>
      <c r="L145" s="5" t="inlineStr">
        <is>
          <t>Very Soft</t>
        </is>
      </c>
      <c r="M145" s="4" t="inlineStr"/>
      <c r="N145" s="3" t="n">
        <v>153.4</v>
      </c>
      <c r="O145" s="15" t="n">
        <v>11.4</v>
      </c>
      <c r="P145" s="3" t="n">
        <v>-11.1</v>
      </c>
      <c r="Q145" s="21" t="inlineStr">
        <is>
          <t>DEPTH</t>
        </is>
      </c>
      <c r="R145" s="8" t="inlineStr">
        <is>
          <t>Contract year; Pollard's handcuff in Tennessee</t>
        </is>
      </c>
    </row>
    <row r="146">
      <c r="A146" s="3" t="inlineStr"/>
      <c r="B146" s="3" t="n">
        <v>143</v>
      </c>
      <c r="C146" s="3" t="n">
        <v>8</v>
      </c>
      <c r="D146" s="3" t="inlineStr">
        <is>
          <t>Tier 8</t>
        </is>
      </c>
      <c r="E146" s="4" t="inlineStr">
        <is>
          <t>RB</t>
        </is>
      </c>
      <c r="F146" s="3" t="n">
        <v>48</v>
      </c>
      <c r="G146" s="3" t="n">
        <v>6</v>
      </c>
      <c r="H146" s="4" t="inlineStr">
        <is>
          <t>Jonah Coleman</t>
        </is>
      </c>
      <c r="I146" s="4" t="inlineStr">
        <is>
          <t>DEN</t>
        </is>
      </c>
      <c r="J146" s="3" t="n">
        <v>10</v>
      </c>
      <c r="K146" s="4" t="inlineStr"/>
      <c r="L146" s="9" t="inlineStr">
        <is>
          <t>Gauntlet</t>
        </is>
      </c>
      <c r="M146" s="4" t="inlineStr"/>
      <c r="N146" s="3" t="n">
        <v>154.6</v>
      </c>
      <c r="O146" s="15" t="n">
        <v>11.6</v>
      </c>
      <c r="P146" s="3" t="n">
        <v>-11.1</v>
      </c>
      <c r="Q146" s="23" t="inlineStr">
        <is>
          <t>HANDCUFF</t>
        </is>
      </c>
      <c r="R146" s="8" t="inlineStr">
        <is>
          <t>UPDATED 8/30: RB3 behind J.K. Dobbins AND RJ Harvey, but specifically pegged to inherit the 3rd-down passing/pass-block role -- a real if limited-touch role, not a pure emergency stash</t>
        </is>
      </c>
    </row>
    <row r="147">
      <c r="A147" s="3" t="inlineStr"/>
      <c r="B147" s="3" t="n">
        <v>144</v>
      </c>
      <c r="C147" s="3" t="n">
        <v>8</v>
      </c>
      <c r="D147" s="3" t="inlineStr">
        <is>
          <t>Tier 8</t>
        </is>
      </c>
      <c r="E147" s="4" t="inlineStr">
        <is>
          <t>WR</t>
        </is>
      </c>
      <c r="F147" s="3" t="n">
        <v>50</v>
      </c>
      <c r="G147" s="3" t="n">
        <v>6</v>
      </c>
      <c r="H147" s="4" t="inlineStr">
        <is>
          <t>Jalen Coker</t>
        </is>
      </c>
      <c r="I147" s="4" t="inlineStr">
        <is>
          <t>CAR</t>
        </is>
      </c>
      <c r="J147" s="3" t="n">
        <v>5</v>
      </c>
      <c r="K147" s="12" t="inlineStr">
        <is>
          <t>YES</t>
        </is>
      </c>
      <c r="L147" s="13" t="inlineStr">
        <is>
          <t>Tough</t>
        </is>
      </c>
      <c r="M147" s="4" t="inlineStr"/>
      <c r="N147" s="3" t="n">
        <v>142</v>
      </c>
      <c r="O147" s="3" t="n">
        <v>-2</v>
      </c>
      <c r="P147" s="3" t="n">
        <v>-11.2</v>
      </c>
      <c r="Q147" s="20" t="inlineStr">
        <is>
          <t>SLEEPER</t>
        </is>
      </c>
      <c r="R147" s="8" t="inlineStr">
        <is>
          <t>UPDATED 8/30: locked in as a starting OUTSIDE WR next to McMillan (not a slot role as previously scouted) -- only the WR3 job behind them is contested</t>
        </is>
      </c>
    </row>
    <row r="148">
      <c r="A148" s="3" t="inlineStr"/>
      <c r="B148" s="3" t="n">
        <v>145</v>
      </c>
      <c r="C148" s="3" t="n">
        <v>8</v>
      </c>
      <c r="D148" s="3" t="inlineStr">
        <is>
          <t>Tier 8</t>
        </is>
      </c>
      <c r="E148" s="4" t="inlineStr">
        <is>
          <t>QB</t>
        </is>
      </c>
      <c r="F148" s="3" t="n">
        <v>25</v>
      </c>
      <c r="G148" s="3" t="n">
        <v>6</v>
      </c>
      <c r="H148" s="4" t="inlineStr">
        <is>
          <t>Daniel Jones</t>
        </is>
      </c>
      <c r="I148" s="4" t="inlineStr">
        <is>
          <t>IND</t>
        </is>
      </c>
      <c r="J148" s="3" t="n">
        <v>13</v>
      </c>
      <c r="K148" s="4" t="inlineStr"/>
      <c r="L148" s="17" t="inlineStr">
        <is>
          <t>Soft</t>
        </is>
      </c>
      <c r="M148" s="6" t="inlineStr">
        <is>
          <t>Superflex Depth</t>
        </is>
      </c>
      <c r="N148" s="3" t="n">
        <v>114.7</v>
      </c>
      <c r="O148" s="22" t="n">
        <v>-30.3</v>
      </c>
      <c r="P148" s="3" t="n">
        <v>-11.2</v>
      </c>
      <c r="Q148" s="4" t="inlineStr"/>
      <c r="R148" s="8" t="inlineStr">
        <is>
          <t>ECR-ranked; no dedicated situational research yet -- verify news/depth chart closer to draft time.</t>
        </is>
      </c>
    </row>
    <row r="149">
      <c r="A149" s="3" t="inlineStr"/>
      <c r="B149" s="3" t="n">
        <v>146</v>
      </c>
      <c r="C149" s="3" t="n">
        <v>8</v>
      </c>
      <c r="D149" s="3" t="inlineStr">
        <is>
          <t>Tier 8</t>
        </is>
      </c>
      <c r="E149" s="4" t="inlineStr">
        <is>
          <t>WR</t>
        </is>
      </c>
      <c r="F149" s="3" t="n">
        <v>51</v>
      </c>
      <c r="G149" s="3" t="n">
        <v>6</v>
      </c>
      <c r="H149" s="4" t="inlineStr">
        <is>
          <t>Matthew Golden</t>
        </is>
      </c>
      <c r="I149" s="4" t="inlineStr">
        <is>
          <t>GB</t>
        </is>
      </c>
      <c r="J149" s="3" t="n">
        <v>11</v>
      </c>
      <c r="K149" s="4" t="inlineStr"/>
      <c r="L149" s="13" t="inlineStr">
        <is>
          <t>Tough</t>
        </is>
      </c>
      <c r="M149" s="4" t="inlineStr"/>
      <c r="N149" s="3" t="n">
        <v>125.4</v>
      </c>
      <c r="O149" s="22" t="n">
        <v>-20.6</v>
      </c>
      <c r="P149" s="3" t="n">
        <v>-11.2</v>
      </c>
      <c r="Q149" s="20" t="inlineStr">
        <is>
          <t>SLEEPER</t>
        </is>
      </c>
      <c r="R149" s="8" t="inlineStr">
        <is>
          <t>UPDATED 8/30: thin rookie-year production (29/361/0), but camp reports now have him as GB's clear #2/#3 target now that Doubs is gone (signed with NE) -- real opportunity behind Watson</t>
        </is>
      </c>
    </row>
    <row r="150">
      <c r="A150" s="3" t="inlineStr"/>
      <c r="B150" s="3" t="n">
        <v>147</v>
      </c>
      <c r="C150" s="3" t="n">
        <v>8</v>
      </c>
      <c r="D150" s="3" t="inlineStr">
        <is>
          <t>Tier 8</t>
        </is>
      </c>
      <c r="E150" s="4" t="inlineStr">
        <is>
          <t>WR</t>
        </is>
      </c>
      <c r="F150" s="3" t="n">
        <v>52</v>
      </c>
      <c r="G150" s="3" t="n">
        <v>6</v>
      </c>
      <c r="H150" s="4" t="inlineStr">
        <is>
          <t>Khalil Shakir</t>
        </is>
      </c>
      <c r="I150" s="4" t="inlineStr">
        <is>
          <t>BUF</t>
        </is>
      </c>
      <c r="J150" s="3" t="n">
        <v>7</v>
      </c>
      <c r="K150" s="4" t="inlineStr"/>
      <c r="L150" s="9" t="inlineStr">
        <is>
          <t>Gauntlet</t>
        </is>
      </c>
      <c r="M150" s="4" t="inlineStr"/>
      <c r="N150" s="3" t="n">
        <v>144.2</v>
      </c>
      <c r="O150" s="3" t="n">
        <v>-2.8</v>
      </c>
      <c r="P150" s="3" t="n">
        <v>-11.3</v>
      </c>
      <c r="Q150" s="16" t="inlineStr">
        <is>
          <t>BUST</t>
        </is>
      </c>
      <c r="R150" s="8" t="inlineStr">
        <is>
          <t>Snap rate fell 76%-&gt;57%; Moore's arrival compresses his target share further</t>
        </is>
      </c>
    </row>
    <row r="151">
      <c r="A151" s="3" t="inlineStr"/>
      <c r="B151" s="3" t="n">
        <v>148</v>
      </c>
      <c r="C151" s="3" t="n">
        <v>8</v>
      </c>
      <c r="D151" s="3" t="inlineStr">
        <is>
          <t>Tier 8</t>
        </is>
      </c>
      <c r="E151" s="4" t="inlineStr">
        <is>
          <t>RB</t>
        </is>
      </c>
      <c r="F151" s="3" t="n">
        <v>49</v>
      </c>
      <c r="G151" s="3" t="n">
        <v>6</v>
      </c>
      <c r="H151" s="4" t="inlineStr">
        <is>
          <t>Zach Charbonnet</t>
        </is>
      </c>
      <c r="I151" s="4" t="inlineStr">
        <is>
          <t>SEA</t>
        </is>
      </c>
      <c r="J151" s="3" t="n">
        <v>11</v>
      </c>
      <c r="K151" s="12" t="inlineStr">
        <is>
          <t>YES</t>
        </is>
      </c>
      <c r="L151" s="11" t="inlineStr">
        <is>
          <t>Neutral</t>
        </is>
      </c>
      <c r="M151" s="4" t="inlineStr"/>
      <c r="N151" s="3" t="n">
        <v>151.2</v>
      </c>
      <c r="O151" s="3" t="n">
        <v>3.2</v>
      </c>
      <c r="P151" s="3" t="n">
        <v>-11.6</v>
      </c>
      <c r="Q151" s="21" t="inlineStr">
        <is>
          <t>DEPTH</t>
        </is>
      </c>
      <c r="R151" s="8" t="inlineStr">
        <is>
          <t>Contract year; recovering from an ACL tear, timeshare with rookie Price unresolved</t>
        </is>
      </c>
    </row>
    <row r="152">
      <c r="A152" s="3" t="inlineStr"/>
      <c r="B152" s="3" t="n">
        <v>149</v>
      </c>
      <c r="C152" s="3" t="n">
        <v>8</v>
      </c>
      <c r="D152" s="3" t="inlineStr">
        <is>
          <t>Tier 8</t>
        </is>
      </c>
      <c r="E152" s="4" t="inlineStr">
        <is>
          <t>RB</t>
        </is>
      </c>
      <c r="F152" s="3" t="n">
        <v>50</v>
      </c>
      <c r="G152" s="3" t="n">
        <v>6</v>
      </c>
      <c r="H152" s="4" t="inlineStr">
        <is>
          <t>Dylan Sampson</t>
        </is>
      </c>
      <c r="I152" s="4" t="inlineStr">
        <is>
          <t>CLE</t>
        </is>
      </c>
      <c r="J152" s="3" t="n">
        <v>11</v>
      </c>
      <c r="K152" s="4" t="inlineStr"/>
      <c r="L152" s="9" t="inlineStr">
        <is>
          <t>Gauntlet</t>
        </is>
      </c>
      <c r="M152" s="4" t="inlineStr"/>
      <c r="N152" s="3" t="n">
        <v>163.7</v>
      </c>
      <c r="O152" s="15" t="n">
        <v>14.7</v>
      </c>
      <c r="P152" s="3" t="n">
        <v>-11.9</v>
      </c>
      <c r="Q152" s="4" t="inlineStr"/>
      <c r="R152" s="8" t="inlineStr">
        <is>
          <t>ECR-ranked; no dedicated situational research yet -- verify news/depth chart closer to draft time.</t>
        </is>
      </c>
    </row>
    <row r="153">
      <c r="A153" s="3" t="inlineStr"/>
      <c r="B153" s="3" t="n">
        <v>150</v>
      </c>
      <c r="C153" s="3" t="n">
        <v>8</v>
      </c>
      <c r="D153" s="3" t="inlineStr">
        <is>
          <t>Tier 8</t>
        </is>
      </c>
      <c r="E153" s="4" t="inlineStr">
        <is>
          <t>TE</t>
        </is>
      </c>
      <c r="F153" s="3" t="n">
        <v>23</v>
      </c>
      <c r="G153" s="3" t="n">
        <v>6</v>
      </c>
      <c r="H153" s="4" t="inlineStr">
        <is>
          <t>T.J. Hockenson</t>
        </is>
      </c>
      <c r="I153" s="4" t="inlineStr">
        <is>
          <t>MIN</t>
        </is>
      </c>
      <c r="J153" s="3" t="n">
        <v>6</v>
      </c>
      <c r="K153" s="4" t="inlineStr"/>
      <c r="L153" s="17" t="inlineStr">
        <is>
          <t>Soft</t>
        </is>
      </c>
      <c r="M153" s="4" t="inlineStr"/>
      <c r="N153" s="3" t="n">
        <v>164.4</v>
      </c>
      <c r="O153" s="15" t="n">
        <v>14.4</v>
      </c>
      <c r="P153" s="3" t="n">
        <v>-12</v>
      </c>
      <c r="Q153" s="4" t="inlineStr"/>
      <c r="R153" s="8" t="inlineStr">
        <is>
          <t>ECR-ranked; no dedicated situational research yet -- verify news/depth chart closer to draft time.</t>
        </is>
      </c>
    </row>
    <row r="154">
      <c r="A154" s="3" t="inlineStr"/>
      <c r="B154" s="3" t="n">
        <v>151</v>
      </c>
      <c r="C154" s="3" t="n">
        <v>8</v>
      </c>
      <c r="D154" s="3" t="inlineStr">
        <is>
          <t>Tier 8</t>
        </is>
      </c>
      <c r="E154" s="4" t="inlineStr">
        <is>
          <t>RB</t>
        </is>
      </c>
      <c r="F154" s="3" t="n">
        <v>47</v>
      </c>
      <c r="G154" s="3" t="n">
        <v>6</v>
      </c>
      <c r="H154" s="4" t="inlineStr">
        <is>
          <t>Tank Bigsby</t>
        </is>
      </c>
      <c r="I154" s="4" t="inlineStr">
        <is>
          <t>PHI</t>
        </is>
      </c>
      <c r="J154" s="3" t="n">
        <v>10</v>
      </c>
      <c r="K154" s="12" t="inlineStr">
        <is>
          <t>YES</t>
        </is>
      </c>
      <c r="L154" s="5" t="inlineStr">
        <is>
          <t>Very Soft</t>
        </is>
      </c>
      <c r="M154" s="4" t="inlineStr"/>
      <c r="N154" s="3" t="n">
        <v>159.1</v>
      </c>
      <c r="O154" s="15" t="n">
        <v>8.1</v>
      </c>
      <c r="P154" s="3" t="n">
        <v>-12.1</v>
      </c>
      <c r="Q154" s="21" t="inlineStr">
        <is>
          <t>DEPTH</t>
        </is>
      </c>
      <c r="R154" s="8" t="inlineStr">
        <is>
          <t>Contract year; Eagles RB2 behind Barkley</t>
        </is>
      </c>
    </row>
    <row r="155">
      <c r="A155" s="3" t="inlineStr"/>
      <c r="B155" s="3" t="n">
        <v>152</v>
      </c>
      <c r="C155" s="3" t="n">
        <v>8</v>
      </c>
      <c r="D155" s="3" t="inlineStr">
        <is>
          <t>Tier 8</t>
        </is>
      </c>
      <c r="E155" s="4" t="inlineStr">
        <is>
          <t>TE</t>
        </is>
      </c>
      <c r="F155" s="3" t="n">
        <v>24</v>
      </c>
      <c r="G155" s="3" t="n">
        <v>6</v>
      </c>
      <c r="H155" s="4" t="inlineStr">
        <is>
          <t>Oronde Gadsden II</t>
        </is>
      </c>
      <c r="I155" s="4" t="inlineStr">
        <is>
          <t>LAC</t>
        </is>
      </c>
      <c r="J155" s="3" t="n">
        <v>7</v>
      </c>
      <c r="K155" s="4" t="inlineStr"/>
      <c r="L155" s="13" t="inlineStr">
        <is>
          <t>Tough</t>
        </is>
      </c>
      <c r="M155" s="4" t="inlineStr"/>
      <c r="N155" s="3" t="n">
        <v>162.2</v>
      </c>
      <c r="O155" s="15" t="n">
        <v>10.2</v>
      </c>
      <c r="P155" s="3" t="n">
        <v>-12.3</v>
      </c>
      <c r="Q155" s="4" t="inlineStr"/>
      <c r="R155" s="8" t="inlineStr">
        <is>
          <t>ECR-ranked; no dedicated situational research yet -- verify news/depth chart closer to draft time.</t>
        </is>
      </c>
    </row>
    <row r="156">
      <c r="A156" s="3" t="inlineStr"/>
      <c r="B156" s="3" t="n">
        <v>153</v>
      </c>
      <c r="C156" s="3" t="n">
        <v>8</v>
      </c>
      <c r="D156" s="3" t="inlineStr">
        <is>
          <t>Tier 8</t>
        </is>
      </c>
      <c r="E156" s="4" t="inlineStr">
        <is>
          <t>QB</t>
        </is>
      </c>
      <c r="F156" s="3" t="n">
        <v>26</v>
      </c>
      <c r="G156" s="3" t="n">
        <v>6</v>
      </c>
      <c r="H156" s="4" t="inlineStr">
        <is>
          <t>Bryce Young</t>
        </is>
      </c>
      <c r="I156" s="4" t="inlineStr">
        <is>
          <t>CAR</t>
        </is>
      </c>
      <c r="J156" s="3" t="n">
        <v>5</v>
      </c>
      <c r="K156" s="4" t="inlineStr"/>
      <c r="L156" s="13" t="inlineStr">
        <is>
          <t>Tough</t>
        </is>
      </c>
      <c r="M156" s="6" t="inlineStr">
        <is>
          <t>Superflex Depth</t>
        </is>
      </c>
      <c r="N156" s="3" t="n">
        <v>126.9</v>
      </c>
      <c r="O156" s="22" t="n">
        <v>-26.1</v>
      </c>
      <c r="P156" s="3" t="n">
        <v>-12.7</v>
      </c>
      <c r="Q156" s="4" t="inlineStr"/>
      <c r="R156" s="8" t="inlineStr">
        <is>
          <t>NEW 8/30: confirmed Panthers starter, strong/positive camp reports (coach cites 'ownership and mastery of the concepts'), no benching threat found -- the 2024 benching is old news, not current</t>
        </is>
      </c>
    </row>
    <row r="157">
      <c r="A157" s="3" t="inlineStr"/>
      <c r="B157" s="3" t="n">
        <v>154</v>
      </c>
      <c r="C157" s="3" t="n">
        <v>8</v>
      </c>
      <c r="D157" s="3" t="inlineStr">
        <is>
          <t>Tier 8</t>
        </is>
      </c>
      <c r="E157" s="4" t="inlineStr">
        <is>
          <t>WR</t>
        </is>
      </c>
      <c r="F157" s="3" t="n">
        <v>53</v>
      </c>
      <c r="G157" s="3" t="n">
        <v>6</v>
      </c>
      <c r="H157" s="4" t="inlineStr">
        <is>
          <t>KC Concepcion</t>
        </is>
      </c>
      <c r="I157" s="4" t="inlineStr">
        <is>
          <t>CLE</t>
        </is>
      </c>
      <c r="J157" s="3" t="n">
        <v>11</v>
      </c>
      <c r="K157" s="4" t="inlineStr"/>
      <c r="L157" s="5" t="inlineStr">
        <is>
          <t>Very Soft</t>
        </is>
      </c>
      <c r="M157" s="4" t="inlineStr"/>
      <c r="N157" s="3" t="n">
        <v>125.4</v>
      </c>
      <c r="O157" s="22" t="n">
        <v>-28.6</v>
      </c>
      <c r="P157" s="3" t="n">
        <v>-12.9</v>
      </c>
      <c r="Q157" s="4" t="inlineStr"/>
      <c r="R157" s="8" t="inlineStr">
        <is>
          <t>ECR-ranked; no dedicated situational research yet -- verify news/depth chart closer to draft time.</t>
        </is>
      </c>
    </row>
    <row r="158">
      <c r="A158" s="3" t="inlineStr"/>
      <c r="B158" s="3" t="n">
        <v>155</v>
      </c>
      <c r="C158" s="3" t="n">
        <v>9</v>
      </c>
      <c r="D158" s="3" t="inlineStr">
        <is>
          <t>Tier 9</t>
        </is>
      </c>
      <c r="E158" s="4" t="inlineStr">
        <is>
          <t>RB</t>
        </is>
      </c>
      <c r="F158" s="3" t="n">
        <v>52</v>
      </c>
      <c r="G158" s="3" t="n">
        <v>6</v>
      </c>
      <c r="H158" s="4" t="inlineStr">
        <is>
          <t>MarShawn Lloyd</t>
        </is>
      </c>
      <c r="I158" s="4" t="inlineStr">
        <is>
          <t>GB</t>
        </is>
      </c>
      <c r="J158" s="3" t="n">
        <v>11</v>
      </c>
      <c r="K158" s="4" t="inlineStr"/>
      <c r="L158" s="17" t="inlineStr">
        <is>
          <t>Soft</t>
        </is>
      </c>
      <c r="M158" s="4" t="inlineStr"/>
      <c r="N158" s="3" t="n">
        <v>145.6</v>
      </c>
      <c r="O158" s="19" t="n">
        <v>-9.4</v>
      </c>
      <c r="P158" s="3" t="n">
        <v>-13.6</v>
      </c>
      <c r="Q158" s="23" t="inlineStr">
        <is>
          <t>HANDCUFF</t>
        </is>
      </c>
      <c r="R158" s="8" t="inlineStr">
        <is>
          <t>Josh Jacobs officially charged, suspension likely -- direct beneficiary</t>
        </is>
      </c>
    </row>
    <row r="159">
      <c r="A159" s="3" t="inlineStr"/>
      <c r="B159" s="3" t="n">
        <v>156</v>
      </c>
      <c r="C159" s="3" t="n">
        <v>9</v>
      </c>
      <c r="D159" s="3" t="inlineStr">
        <is>
          <t>Tier 9</t>
        </is>
      </c>
      <c r="E159" s="4" t="inlineStr">
        <is>
          <t>WR</t>
        </is>
      </c>
      <c r="F159" s="3" t="n">
        <v>56</v>
      </c>
      <c r="G159" s="3" t="n">
        <v>6</v>
      </c>
      <c r="H159" s="4" t="inlineStr">
        <is>
          <t>Rashid Shaheed</t>
        </is>
      </c>
      <c r="I159" s="4" t="inlineStr">
        <is>
          <t>SEA</t>
        </is>
      </c>
      <c r="J159" s="3" t="n">
        <v>11</v>
      </c>
      <c r="K159" s="4" t="inlineStr"/>
      <c r="L159" s="11" t="inlineStr">
        <is>
          <t>Neutral</t>
        </is>
      </c>
      <c r="M159" s="4" t="inlineStr"/>
      <c r="N159" s="3" t="n">
        <v>148.6</v>
      </c>
      <c r="O159" s="19" t="n">
        <v>-7.4</v>
      </c>
      <c r="P159" s="3" t="n">
        <v>-13.7</v>
      </c>
      <c r="Q159" s="20" t="inlineStr">
        <is>
          <t>SLEEPER</t>
        </is>
      </c>
      <c r="R159" s="8" t="inlineStr">
        <is>
          <t>NEW 8/30: healthy, no suspension found, viewed as a real breakout/stash candidate who may also retain punt/kick return duties for added floor</t>
        </is>
      </c>
    </row>
    <row r="160">
      <c r="A160" s="3" t="inlineStr"/>
      <c r="B160" s="3" t="n">
        <v>157</v>
      </c>
      <c r="C160" s="3" t="n">
        <v>9</v>
      </c>
      <c r="D160" s="3" t="inlineStr">
        <is>
          <t>Tier 9</t>
        </is>
      </c>
      <c r="E160" s="4" t="inlineStr">
        <is>
          <t>TE</t>
        </is>
      </c>
      <c r="F160" s="3" t="n">
        <v>25</v>
      </c>
      <c r="G160" s="3" t="n">
        <v>6</v>
      </c>
      <c r="H160" s="4" t="inlineStr">
        <is>
          <t>Kenyon Sadiq</t>
        </is>
      </c>
      <c r="I160" s="4" t="inlineStr">
        <is>
          <t>NYJ</t>
        </is>
      </c>
      <c r="J160" s="3" t="n">
        <v>13</v>
      </c>
      <c r="K160" s="4" t="inlineStr"/>
      <c r="L160" s="17" t="inlineStr">
        <is>
          <t>Soft</t>
        </is>
      </c>
      <c r="M160" s="4" t="inlineStr"/>
      <c r="N160" s="3" t="n">
        <v>164.8</v>
      </c>
      <c r="O160" s="15" t="n">
        <v>7.8</v>
      </c>
      <c r="P160" s="3" t="n">
        <v>-13.8</v>
      </c>
      <c r="Q160" s="16" t="inlineStr">
        <is>
          <t>BUST</t>
        </is>
      </c>
      <c r="R160" s="8" t="inlineStr">
        <is>
          <t>Sports-hernia recovery ongoing while Mason Taylor gains reps</t>
        </is>
      </c>
    </row>
    <row r="161">
      <c r="A161" s="3" t="inlineStr"/>
      <c r="B161" s="3" t="n">
        <v>158</v>
      </c>
      <c r="C161" s="3" t="n">
        <v>9</v>
      </c>
      <c r="D161" s="3" t="inlineStr">
        <is>
          <t>Tier 9</t>
        </is>
      </c>
      <c r="E161" s="4" t="inlineStr">
        <is>
          <t>WR</t>
        </is>
      </c>
      <c r="F161" s="3" t="n">
        <v>55</v>
      </c>
      <c r="G161" s="3" t="n">
        <v>6</v>
      </c>
      <c r="H161" s="4" t="inlineStr">
        <is>
          <t>Deebo Samuel</t>
        </is>
      </c>
      <c r="I161" s="4" t="inlineStr">
        <is>
          <t>SF</t>
        </is>
      </c>
      <c r="J161" s="3" t="n">
        <v>8</v>
      </c>
      <c r="K161" s="12" t="inlineStr">
        <is>
          <t>YES</t>
        </is>
      </c>
      <c r="L161" s="11" t="inlineStr">
        <is>
          <t>Neutral</t>
        </is>
      </c>
      <c r="M161" s="4" t="inlineStr"/>
      <c r="N161" s="3" t="n">
        <v>141.2</v>
      </c>
      <c r="O161" s="22" t="n">
        <v>-16.8</v>
      </c>
      <c r="P161" s="3" t="n">
        <v>-13.9</v>
      </c>
      <c r="Q161" s="21" t="inlineStr">
        <is>
          <t>DEPTH</t>
        </is>
      </c>
      <c r="R161" s="8" t="inlineStr">
        <is>
          <t>Contract year; multi-purpose 49ers weapon</t>
        </is>
      </c>
    </row>
    <row r="162">
      <c r="A162" s="3" t="inlineStr"/>
      <c r="B162" s="3" t="n">
        <v>159</v>
      </c>
      <c r="C162" s="3" t="n">
        <v>9</v>
      </c>
      <c r="D162" s="3" t="inlineStr">
        <is>
          <t>Tier 9</t>
        </is>
      </c>
      <c r="E162" s="4" t="inlineStr">
        <is>
          <t>WR</t>
        </is>
      </c>
      <c r="F162" s="3" t="n">
        <v>57</v>
      </c>
      <c r="G162" s="3" t="n">
        <v>6</v>
      </c>
      <c r="H162" s="4" t="inlineStr">
        <is>
          <t>De'Zhaun Stribling</t>
        </is>
      </c>
      <c r="I162" s="4" t="inlineStr">
        <is>
          <t>SF</t>
        </is>
      </c>
      <c r="J162" s="3" t="n">
        <v>8</v>
      </c>
      <c r="K162" s="4" t="inlineStr"/>
      <c r="L162" s="11" t="inlineStr">
        <is>
          <t>Neutral</t>
        </is>
      </c>
      <c r="M162" s="4" t="inlineStr"/>
      <c r="N162" s="3" t="n">
        <v>120.9</v>
      </c>
      <c r="O162" s="22" t="n">
        <v>-38.1</v>
      </c>
      <c r="P162" s="3" t="n">
        <v>-14.1</v>
      </c>
      <c r="Q162" s="4" t="inlineStr"/>
      <c r="R162" s="8" t="inlineStr">
        <is>
          <t>ECR-ranked; no dedicated situational research yet -- verify news/depth chart closer to draft time.</t>
        </is>
      </c>
    </row>
    <row r="163">
      <c r="A163" s="3" t="inlineStr"/>
      <c r="B163" s="3" t="n">
        <v>160</v>
      </c>
      <c r="C163" s="3" t="n">
        <v>9</v>
      </c>
      <c r="D163" s="3" t="inlineStr">
        <is>
          <t>Tier 9</t>
        </is>
      </c>
      <c r="E163" s="4" t="inlineStr">
        <is>
          <t>RB</t>
        </is>
      </c>
      <c r="F163" s="3" t="n">
        <v>51</v>
      </c>
      <c r="G163" s="3" t="n">
        <v>6</v>
      </c>
      <c r="H163" s="4" t="inlineStr">
        <is>
          <t>Isiah Pacheco</t>
        </is>
      </c>
      <c r="I163" s="4" t="inlineStr">
        <is>
          <t>DET</t>
        </is>
      </c>
      <c r="J163" s="3" t="n">
        <v>6</v>
      </c>
      <c r="K163" s="12" t="inlineStr">
        <is>
          <t>YES</t>
        </is>
      </c>
      <c r="L163" s="5" t="inlineStr">
        <is>
          <t>Very Soft</t>
        </is>
      </c>
      <c r="M163" s="4" t="inlineStr"/>
      <c r="N163" s="3" t="n">
        <v>166.5</v>
      </c>
      <c r="O163" s="15" t="n">
        <v>6.5</v>
      </c>
      <c r="P163" s="3" t="n">
        <v>-14.2</v>
      </c>
      <c r="Q163" s="21" t="inlineStr">
        <is>
          <t>DEPTH</t>
        </is>
      </c>
      <c r="R163" s="8" t="inlineStr">
        <is>
          <t>Contract year; Lions RB2</t>
        </is>
      </c>
    </row>
    <row r="164">
      <c r="A164" s="3" t="inlineStr"/>
      <c r="B164" s="3" t="n">
        <v>161</v>
      </c>
      <c r="C164" s="3" t="n">
        <v>9</v>
      </c>
      <c r="D164" s="3" t="inlineStr">
        <is>
          <t>Tier 9</t>
        </is>
      </c>
      <c r="E164" s="4" t="inlineStr">
        <is>
          <t>RB</t>
        </is>
      </c>
      <c r="F164" s="3" t="n">
        <v>54</v>
      </c>
      <c r="G164" s="3" t="n">
        <v>6</v>
      </c>
      <c r="H164" s="4" t="inlineStr">
        <is>
          <t>Tyrone Tracy Jr.</t>
        </is>
      </c>
      <c r="I164" s="4" t="inlineStr">
        <is>
          <t>NYG</t>
        </is>
      </c>
      <c r="J164" s="3" t="n">
        <v>8</v>
      </c>
      <c r="K164" s="4" t="inlineStr"/>
      <c r="L164" s="17" t="inlineStr">
        <is>
          <t>Soft</t>
        </is>
      </c>
      <c r="M164" s="4" t="inlineStr"/>
      <c r="N164" s="3" t="n">
        <v>158.6</v>
      </c>
      <c r="O164" s="3" t="n">
        <v>-2.4</v>
      </c>
      <c r="P164" s="3" t="n">
        <v>-14.2</v>
      </c>
      <c r="Q164" s="4" t="inlineStr"/>
      <c r="R164" s="8" t="inlineStr">
        <is>
          <t>ECR-ranked; no dedicated situational research yet -- verify news/depth chart closer to draft time.</t>
        </is>
      </c>
    </row>
    <row r="165">
      <c r="A165" s="3" t="inlineStr"/>
      <c r="B165" s="3" t="n">
        <v>162</v>
      </c>
      <c r="C165" s="3" t="n">
        <v>9</v>
      </c>
      <c r="D165" s="3" t="inlineStr">
        <is>
          <t>Tier 9</t>
        </is>
      </c>
      <c r="E165" s="4" t="inlineStr">
        <is>
          <t>RB</t>
        </is>
      </c>
      <c r="F165" s="3" t="n">
        <v>53</v>
      </c>
      <c r="G165" s="3" t="n">
        <v>6</v>
      </c>
      <c r="H165" s="4" t="inlineStr">
        <is>
          <t>Alvin Kamara</t>
        </is>
      </c>
      <c r="I165" s="4" t="inlineStr">
        <is>
          <t>NO</t>
        </is>
      </c>
      <c r="J165" s="3" t="n">
        <v>8</v>
      </c>
      <c r="K165" s="12" t="inlineStr">
        <is>
          <t>YES</t>
        </is>
      </c>
      <c r="L165" s="11" t="inlineStr">
        <is>
          <t>Neutral</t>
        </is>
      </c>
      <c r="M165" s="4" t="inlineStr"/>
      <c r="N165" s="3" t="n">
        <v>162.5</v>
      </c>
      <c r="O165" s="3" t="n">
        <v>0.5</v>
      </c>
      <c r="P165" s="3" t="n">
        <v>-14.3</v>
      </c>
      <c r="Q165" s="21" t="inlineStr">
        <is>
          <t>DEPTH</t>
        </is>
      </c>
      <c r="R165" s="8" t="inlineStr">
        <is>
          <t>Contract year; still New Orleans' starter</t>
        </is>
      </c>
    </row>
    <row r="166">
      <c r="A166" s="3" t="inlineStr"/>
      <c r="B166" s="3" t="n">
        <v>163</v>
      </c>
      <c r="C166" s="3" t="n">
        <v>9</v>
      </c>
      <c r="D166" s="3" t="inlineStr">
        <is>
          <t>Tier 9</t>
        </is>
      </c>
      <c r="E166" s="4" t="inlineStr">
        <is>
          <t>TE</t>
        </is>
      </c>
      <c r="F166" s="3" t="n">
        <v>26</v>
      </c>
      <c r="G166" s="3" t="n">
        <v>6</v>
      </c>
      <c r="H166" s="4" t="inlineStr">
        <is>
          <t>Gunnar Helm</t>
        </is>
      </c>
      <c r="I166" s="4" t="inlineStr">
        <is>
          <t>TEN</t>
        </is>
      </c>
      <c r="J166" s="3" t="n">
        <v>9</v>
      </c>
      <c r="K166" s="4" t="inlineStr"/>
      <c r="L166" s="11" t="inlineStr">
        <is>
          <t>Neutral</t>
        </is>
      </c>
      <c r="M166" s="4" t="inlineStr"/>
      <c r="N166" s="3" t="n">
        <v>175.9</v>
      </c>
      <c r="O166" s="15" t="n">
        <v>12.9</v>
      </c>
      <c r="P166" s="3" t="n">
        <v>-14.6</v>
      </c>
      <c r="Q166" s="4" t="inlineStr"/>
      <c r="R166" s="8" t="inlineStr">
        <is>
          <t>ECR-ranked; no dedicated situational research yet -- verify news/depth chart closer to draft time.</t>
        </is>
      </c>
    </row>
    <row r="167">
      <c r="A167" s="3" t="inlineStr"/>
      <c r="B167" s="3" t="n">
        <v>164</v>
      </c>
      <c r="C167" s="3" t="n">
        <v>9</v>
      </c>
      <c r="D167" s="3" t="inlineStr">
        <is>
          <t>Tier 9</t>
        </is>
      </c>
      <c r="E167" s="4" t="inlineStr">
        <is>
          <t>WR</t>
        </is>
      </c>
      <c r="F167" s="3" t="n">
        <v>58</v>
      </c>
      <c r="G167" s="3" t="n">
        <v>6</v>
      </c>
      <c r="H167" s="4" t="inlineStr">
        <is>
          <t>Adonai Mitchell</t>
        </is>
      </c>
      <c r="I167" s="4" t="inlineStr">
        <is>
          <t>NYJ</t>
        </is>
      </c>
      <c r="J167" s="3" t="n">
        <v>13</v>
      </c>
      <c r="K167" s="4" t="inlineStr"/>
      <c r="L167" s="17" t="inlineStr">
        <is>
          <t>Soft</t>
        </is>
      </c>
      <c r="M167" s="4" t="inlineStr"/>
      <c r="N167" s="3" t="n">
        <v>171.3</v>
      </c>
      <c r="O167" s="15" t="n">
        <v>7.3</v>
      </c>
      <c r="P167" s="3" t="n">
        <v>-14.7</v>
      </c>
      <c r="Q167" s="4" t="inlineStr"/>
      <c r="R167" s="8" t="inlineStr">
        <is>
          <t>ECR-ranked; no dedicated situational research yet -- verify news/depth chart closer to draft time.</t>
        </is>
      </c>
    </row>
    <row r="168">
      <c r="A168" s="3" t="inlineStr"/>
      <c r="B168" s="3" t="n">
        <v>165</v>
      </c>
      <c r="C168" s="3" t="n">
        <v>9</v>
      </c>
      <c r="D168" s="3" t="inlineStr">
        <is>
          <t>Tier 9</t>
        </is>
      </c>
      <c r="E168" s="4" t="inlineStr">
        <is>
          <t>RB</t>
        </is>
      </c>
      <c r="F168" s="3" t="n">
        <v>58</v>
      </c>
      <c r="G168" s="3" t="n">
        <v>6</v>
      </c>
      <c r="H168" s="4" t="inlineStr">
        <is>
          <t>Ray Davis</t>
        </is>
      </c>
      <c r="I168" s="4" t="inlineStr">
        <is>
          <t>BUF</t>
        </is>
      </c>
      <c r="J168" s="3" t="n">
        <v>7</v>
      </c>
      <c r="K168" s="4" t="inlineStr"/>
      <c r="L168" s="9" t="inlineStr">
        <is>
          <t>Gauntlet</t>
        </is>
      </c>
      <c r="M168" s="4" t="inlineStr"/>
      <c r="N168" s="3" t="n">
        <v>174.2</v>
      </c>
      <c r="O168" s="15" t="n">
        <v>9.199999999999999</v>
      </c>
      <c r="P168" s="3" t="n">
        <v>-14.7</v>
      </c>
      <c r="Q168" s="4" t="inlineStr"/>
      <c r="R168" s="8" t="inlineStr">
        <is>
          <t>ECR-ranked; no dedicated situational research yet -- verify news/depth chart closer to draft time.</t>
        </is>
      </c>
    </row>
    <row r="169">
      <c r="A169" s="3" t="inlineStr"/>
      <c r="B169" s="3" t="n">
        <v>166</v>
      </c>
      <c r="C169" s="3" t="n">
        <v>9</v>
      </c>
      <c r="D169" s="3" t="inlineStr">
        <is>
          <t>Tier 9</t>
        </is>
      </c>
      <c r="E169" s="4" t="inlineStr">
        <is>
          <t>TE</t>
        </is>
      </c>
      <c r="F169" s="3" t="n">
        <v>27</v>
      </c>
      <c r="G169" s="3" t="n">
        <v>6</v>
      </c>
      <c r="H169" s="4" t="inlineStr">
        <is>
          <t>Pat Freiermuth</t>
        </is>
      </c>
      <c r="I169" s="4" t="inlineStr">
        <is>
          <t>PIT</t>
        </is>
      </c>
      <c r="J169" s="3" t="n">
        <v>9</v>
      </c>
      <c r="K169" s="4" t="inlineStr"/>
      <c r="L169" s="13" t="inlineStr">
        <is>
          <t>Tough</t>
        </is>
      </c>
      <c r="M169" s="4" t="inlineStr"/>
      <c r="N169" s="3" t="n">
        <v>177.4</v>
      </c>
      <c r="O169" s="15" t="n">
        <v>11.4</v>
      </c>
      <c r="P169" s="3" t="n">
        <v>-14.9</v>
      </c>
      <c r="Q169" s="4" t="inlineStr"/>
      <c r="R169" s="8" t="inlineStr">
        <is>
          <t>ECR-ranked; no dedicated situational research yet -- verify news/depth chart closer to draft time.</t>
        </is>
      </c>
    </row>
    <row r="170">
      <c r="A170" s="3" t="inlineStr"/>
      <c r="B170" s="3" t="n">
        <v>167</v>
      </c>
      <c r="C170" s="3" t="n">
        <v>9</v>
      </c>
      <c r="D170" s="3" t="inlineStr">
        <is>
          <t>Tier 9</t>
        </is>
      </c>
      <c r="E170" s="4" t="inlineStr">
        <is>
          <t>RB</t>
        </is>
      </c>
      <c r="F170" s="3" t="n">
        <v>56</v>
      </c>
      <c r="G170" s="3" t="n">
        <v>6</v>
      </c>
      <c r="H170" s="4" t="inlineStr">
        <is>
          <t>Braelon Allen</t>
        </is>
      </c>
      <c r="I170" s="4" t="inlineStr">
        <is>
          <t>NYJ</t>
        </is>
      </c>
      <c r="J170" s="3" t="n">
        <v>13</v>
      </c>
      <c r="K170" s="4" t="inlineStr"/>
      <c r="L170" s="17" t="inlineStr">
        <is>
          <t>Soft</t>
        </is>
      </c>
      <c r="M170" s="4" t="inlineStr"/>
      <c r="N170" s="3" t="n">
        <v>167.5</v>
      </c>
      <c r="O170" s="3" t="n">
        <v>0.5</v>
      </c>
      <c r="P170" s="3" t="n">
        <v>-14.9</v>
      </c>
      <c r="Q170" s="4" t="inlineStr"/>
      <c r="R170" s="8" t="inlineStr">
        <is>
          <t>ECR-ranked; no dedicated situational research yet -- verify news/depth chart closer to draft time.</t>
        </is>
      </c>
    </row>
    <row r="171">
      <c r="A171" s="3" t="inlineStr"/>
      <c r="B171" s="3" t="n">
        <v>168</v>
      </c>
      <c r="C171" s="3" t="n">
        <v>9</v>
      </c>
      <c r="D171" s="3" t="inlineStr">
        <is>
          <t>Tier 9</t>
        </is>
      </c>
      <c r="E171" s="4" t="inlineStr">
        <is>
          <t>RB</t>
        </is>
      </c>
      <c r="F171" s="3" t="n">
        <v>57</v>
      </c>
      <c r="G171" s="3" t="n">
        <v>6</v>
      </c>
      <c r="H171" s="4" t="inlineStr">
        <is>
          <t>Mike Washington Jr.</t>
        </is>
      </c>
      <c r="I171" s="4" t="inlineStr">
        <is>
          <t>LV</t>
        </is>
      </c>
      <c r="J171" s="3" t="n">
        <v>13</v>
      </c>
      <c r="K171" s="4" t="inlineStr"/>
      <c r="L171" s="13" t="inlineStr">
        <is>
          <t>Tough</t>
        </is>
      </c>
      <c r="M171" s="4" t="inlineStr"/>
      <c r="N171" s="3" t="n">
        <v>145.1</v>
      </c>
      <c r="O171" s="22" t="n">
        <v>-22.9</v>
      </c>
      <c r="P171" s="3" t="n">
        <v>-14.9</v>
      </c>
      <c r="Q171" s="4" t="inlineStr"/>
      <c r="R171" s="8" t="inlineStr">
        <is>
          <t>ECR-ranked; no dedicated situational research yet -- verify news/depth chart closer to draft time.</t>
        </is>
      </c>
    </row>
    <row r="172">
      <c r="A172" s="3" t="inlineStr"/>
      <c r="B172" s="3" t="n">
        <v>169</v>
      </c>
      <c r="C172" s="3" t="n">
        <v>9</v>
      </c>
      <c r="D172" s="3" t="inlineStr">
        <is>
          <t>Tier 9</t>
        </is>
      </c>
      <c r="E172" s="4" t="inlineStr">
        <is>
          <t>QB</t>
        </is>
      </c>
      <c r="F172" s="3" t="n">
        <v>27</v>
      </c>
      <c r="G172" s="3" t="n">
        <v>6</v>
      </c>
      <c r="H172" s="4" t="inlineStr">
        <is>
          <t>Jacoby Brissett</t>
        </is>
      </c>
      <c r="I172" s="4" t="inlineStr">
        <is>
          <t>ARI</t>
        </is>
      </c>
      <c r="J172" s="3" t="n">
        <v>14</v>
      </c>
      <c r="K172" s="12" t="inlineStr">
        <is>
          <t>YES</t>
        </is>
      </c>
      <c r="L172" s="13" t="inlineStr">
        <is>
          <t>Tough</t>
        </is>
      </c>
      <c r="M172" s="6" t="inlineStr">
        <is>
          <t>Superflex Depth</t>
        </is>
      </c>
      <c r="N172" s="3" t="n">
        <v>145.9</v>
      </c>
      <c r="O172" s="22" t="n">
        <v>-23.1</v>
      </c>
      <c r="P172" s="3" t="n">
        <v>-15.1</v>
      </c>
      <c r="Q172" s="21" t="inlineStr">
        <is>
          <t>DEPTH</t>
        </is>
      </c>
      <c r="R172" s="8" t="inlineStr">
        <is>
          <t>Contract year; Arizona's QB1 but a pure streamer</t>
        </is>
      </c>
    </row>
    <row r="173">
      <c r="A173" s="3" t="inlineStr"/>
      <c r="B173" s="3" t="n">
        <v>170</v>
      </c>
      <c r="C173" s="3" t="n">
        <v>9</v>
      </c>
      <c r="D173" s="3" t="inlineStr">
        <is>
          <t>Tier 9</t>
        </is>
      </c>
      <c r="E173" s="4" t="inlineStr">
        <is>
          <t>RB</t>
        </is>
      </c>
      <c r="F173" s="3" t="n">
        <v>55</v>
      </c>
      <c r="G173" s="3" t="n">
        <v>6</v>
      </c>
      <c r="H173" s="4" t="inlineStr">
        <is>
          <t>Brian Robinson</t>
        </is>
      </c>
      <c r="I173" s="4" t="inlineStr">
        <is>
          <t>ATL</t>
        </is>
      </c>
      <c r="J173" s="3" t="n">
        <v>11</v>
      </c>
      <c r="K173" s="12" t="inlineStr">
        <is>
          <t>YES</t>
        </is>
      </c>
      <c r="L173" s="11" t="inlineStr">
        <is>
          <t>Neutral</t>
        </is>
      </c>
      <c r="M173" s="4" t="inlineStr"/>
      <c r="N173" s="3" t="n">
        <v>156.6</v>
      </c>
      <c r="O173" s="19" t="n">
        <v>-13.4</v>
      </c>
      <c r="P173" s="3" t="n">
        <v>-15.2</v>
      </c>
      <c r="Q173" s="21" t="inlineStr">
        <is>
          <t>DEPTH</t>
        </is>
      </c>
      <c r="R173" s="8" t="inlineStr">
        <is>
          <t>Contract year; Bijan's direct handcuff in Atlanta</t>
        </is>
      </c>
    </row>
    <row r="174">
      <c r="A174" s="3" t="inlineStr"/>
      <c r="B174" s="3" t="n">
        <v>171</v>
      </c>
      <c r="C174" s="3" t="n">
        <v>9</v>
      </c>
      <c r="D174" s="3" t="inlineStr">
        <is>
          <t>Tier 9</t>
        </is>
      </c>
      <c r="E174" s="4" t="inlineStr">
        <is>
          <t>RB</t>
        </is>
      </c>
      <c r="F174" s="3" t="n">
        <v>59</v>
      </c>
      <c r="G174" s="3" t="n">
        <v>6</v>
      </c>
      <c r="H174" s="4" t="inlineStr">
        <is>
          <t>Emmett Johnson</t>
        </is>
      </c>
      <c r="I174" s="4" t="inlineStr">
        <is>
          <t>KC</t>
        </is>
      </c>
      <c r="J174" s="3" t="n">
        <v>5</v>
      </c>
      <c r="K174" s="4" t="inlineStr"/>
      <c r="L174" s="9" t="inlineStr">
        <is>
          <t>Gauntlet</t>
        </is>
      </c>
      <c r="M174" s="4" t="inlineStr"/>
      <c r="N174" s="3" t="n">
        <v>168.1</v>
      </c>
      <c r="O174" s="3" t="n">
        <v>-2.9</v>
      </c>
      <c r="P174" s="3" t="n">
        <v>-15.3</v>
      </c>
      <c r="Q174" s="4" t="inlineStr"/>
      <c r="R174" s="8" t="inlineStr">
        <is>
          <t>ECR-ranked; no dedicated situational research yet -- verify news/depth chart closer to draft time.</t>
        </is>
      </c>
    </row>
    <row r="175">
      <c r="A175" s="3" t="inlineStr"/>
      <c r="B175" s="3" t="n">
        <v>172</v>
      </c>
      <c r="C175" s="3" t="n">
        <v>9</v>
      </c>
      <c r="D175" s="3" t="inlineStr">
        <is>
          <t>Tier 9</t>
        </is>
      </c>
      <c r="E175" s="4" t="inlineStr">
        <is>
          <t>WR</t>
        </is>
      </c>
      <c r="F175" s="3" t="n">
        <v>60</v>
      </c>
      <c r="G175" s="3" t="n">
        <v>6</v>
      </c>
      <c r="H175" s="4" t="inlineStr">
        <is>
          <t>Tre Tucker</t>
        </is>
      </c>
      <c r="I175" s="4" t="inlineStr">
        <is>
          <t>LV</t>
        </is>
      </c>
      <c r="J175" s="3" t="n">
        <v>13</v>
      </c>
      <c r="K175" s="12" t="inlineStr">
        <is>
          <t>YES</t>
        </is>
      </c>
      <c r="L175" s="9" t="inlineStr">
        <is>
          <t>Gauntlet</t>
        </is>
      </c>
      <c r="M175" s="4" t="inlineStr"/>
      <c r="N175" s="3" t="n">
        <v>163.7</v>
      </c>
      <c r="O175" s="19" t="n">
        <v>-8.300000000000001</v>
      </c>
      <c r="P175" s="3" t="n">
        <v>-15.4</v>
      </c>
      <c r="Q175" s="20" t="inlineStr">
        <is>
          <t>SLEEPER</t>
        </is>
      </c>
      <c r="R175" s="8" t="inlineStr">
        <is>
          <t>Contract year; locked in as Raiders' WR1 at a conservative price</t>
        </is>
      </c>
    </row>
    <row r="176">
      <c r="A176" s="3" t="inlineStr"/>
      <c r="B176" s="3" t="n">
        <v>173</v>
      </c>
      <c r="C176" s="3" t="n">
        <v>9</v>
      </c>
      <c r="D176" s="3" t="inlineStr">
        <is>
          <t>Tier 9</t>
        </is>
      </c>
      <c r="E176" s="4" t="inlineStr">
        <is>
          <t>TE</t>
        </is>
      </c>
      <c r="F176" s="3" t="n">
        <v>28</v>
      </c>
      <c r="G176" s="3" t="n">
        <v>6</v>
      </c>
      <c r="H176" s="4" t="inlineStr">
        <is>
          <t>Cade Otton</t>
        </is>
      </c>
      <c r="I176" s="4" t="inlineStr">
        <is>
          <t>TB</t>
        </is>
      </c>
      <c r="J176" s="3" t="n">
        <v>10</v>
      </c>
      <c r="K176" s="4" t="inlineStr"/>
      <c r="L176" s="9" t="inlineStr">
        <is>
          <t>Gauntlet</t>
        </is>
      </c>
      <c r="M176" s="4" t="inlineStr"/>
      <c r="N176" s="3" t="n">
        <v>176.6</v>
      </c>
      <c r="O176" s="3" t="n">
        <v>3.6</v>
      </c>
      <c r="P176" s="3" t="n">
        <v>-15.4</v>
      </c>
      <c r="Q176" s="4" t="inlineStr"/>
      <c r="R176" s="8" t="inlineStr">
        <is>
          <t>ECR-ranked; no dedicated situational research yet -- verify news/depth chart closer to draft time.</t>
        </is>
      </c>
    </row>
    <row r="177">
      <c r="A177" s="3" t="inlineStr"/>
      <c r="B177" s="3" t="n">
        <v>174</v>
      </c>
      <c r="C177" s="3" t="n">
        <v>9</v>
      </c>
      <c r="D177" s="3" t="inlineStr">
        <is>
          <t>Tier 9</t>
        </is>
      </c>
      <c r="E177" s="4" t="inlineStr">
        <is>
          <t>WR</t>
        </is>
      </c>
      <c r="F177" s="3" t="n">
        <v>62</v>
      </c>
      <c r="G177" s="3" t="n">
        <v>6</v>
      </c>
      <c r="H177" s="4" t="inlineStr">
        <is>
          <t>Jalen McMillan</t>
        </is>
      </c>
      <c r="I177" s="4" t="inlineStr">
        <is>
          <t>TB</t>
        </is>
      </c>
      <c r="J177" s="3" t="n">
        <v>10</v>
      </c>
      <c r="K177" s="4" t="inlineStr"/>
      <c r="L177" s="9" t="inlineStr">
        <is>
          <t>Gauntlet</t>
        </is>
      </c>
      <c r="M177" s="4" t="inlineStr"/>
      <c r="N177" s="3" t="n">
        <v>164.5</v>
      </c>
      <c r="O177" s="19" t="n">
        <v>-9.5</v>
      </c>
      <c r="P177" s="3" t="n">
        <v>-15.5</v>
      </c>
      <c r="Q177" s="4" t="inlineStr"/>
      <c r="R177" s="8" t="inlineStr">
        <is>
          <t>ECR-ranked; no dedicated situational research yet -- verify news/depth chart closer to draft time.</t>
        </is>
      </c>
    </row>
    <row r="178">
      <c r="A178" s="3" t="inlineStr"/>
      <c r="B178" s="3" t="n">
        <v>175</v>
      </c>
      <c r="C178" s="3" t="n">
        <v>9</v>
      </c>
      <c r="D178" s="3" t="inlineStr">
        <is>
          <t>Tier 9</t>
        </is>
      </c>
      <c r="E178" s="4" t="inlineStr">
        <is>
          <t>WR</t>
        </is>
      </c>
      <c r="F178" s="3" t="n">
        <v>59</v>
      </c>
      <c r="G178" s="3" t="n">
        <v>6</v>
      </c>
      <c r="H178" s="4" t="inlineStr">
        <is>
          <t>Denzel Boston</t>
        </is>
      </c>
      <c r="I178" s="4" t="inlineStr">
        <is>
          <t>CLE</t>
        </is>
      </c>
      <c r="J178" s="3" t="n">
        <v>11</v>
      </c>
      <c r="K178" s="4" t="inlineStr"/>
      <c r="L178" s="5" t="inlineStr">
        <is>
          <t>Very Soft</t>
        </is>
      </c>
      <c r="M178" s="4" t="inlineStr"/>
      <c r="N178" s="3" t="n">
        <v>158.9</v>
      </c>
      <c r="O178" s="22" t="n">
        <v>-16.1</v>
      </c>
      <c r="P178" s="3" t="n">
        <v>-15.7</v>
      </c>
      <c r="Q178" s="4" t="inlineStr"/>
      <c r="R178" s="8" t="inlineStr">
        <is>
          <t>ECR-ranked; no dedicated situational research yet -- verify news/depth chart closer to draft time.</t>
        </is>
      </c>
    </row>
    <row r="179">
      <c r="A179" s="3" t="inlineStr"/>
      <c r="B179" s="3" t="n">
        <v>176</v>
      </c>
      <c r="C179" s="3" t="n">
        <v>10</v>
      </c>
      <c r="D179" s="3" t="inlineStr">
        <is>
          <t>Tier 10</t>
        </is>
      </c>
      <c r="E179" s="4" t="inlineStr">
        <is>
          <t>RB</t>
        </is>
      </c>
      <c r="F179" s="3" t="n">
        <v>60</v>
      </c>
      <c r="G179" s="3" t="n">
        <v>6</v>
      </c>
      <c r="H179" s="4" t="inlineStr">
        <is>
          <t>Kimani Vidal</t>
        </is>
      </c>
      <c r="I179" s="4" t="inlineStr">
        <is>
          <t>LAC</t>
        </is>
      </c>
      <c r="J179" s="3" t="n">
        <v>7</v>
      </c>
      <c r="K179" s="4" t="inlineStr"/>
      <c r="L179" s="11" t="inlineStr">
        <is>
          <t>Neutral</t>
        </is>
      </c>
      <c r="M179" s="4" t="inlineStr"/>
      <c r="N179" s="3" t="n">
        <v>176.6</v>
      </c>
      <c r="O179" s="3" t="n">
        <v>0.6</v>
      </c>
      <c r="P179" s="3" t="n">
        <v>-16.2</v>
      </c>
      <c r="Q179" s="4" t="inlineStr"/>
      <c r="R179" s="8" t="inlineStr">
        <is>
          <t>ECR-ranked; no dedicated situational research yet -- verify news/depth chart closer to draft time.</t>
        </is>
      </c>
    </row>
    <row r="180">
      <c r="A180" s="3" t="inlineStr"/>
      <c r="B180" s="3" t="n">
        <v>177</v>
      </c>
      <c r="C180" s="3" t="n">
        <v>10</v>
      </c>
      <c r="D180" s="3" t="inlineStr">
        <is>
          <t>Tier 10</t>
        </is>
      </c>
      <c r="E180" s="4" t="inlineStr">
        <is>
          <t>TE</t>
        </is>
      </c>
      <c r="F180" s="3" t="n">
        <v>29</v>
      </c>
      <c r="G180" s="3" t="n">
        <v>6</v>
      </c>
      <c r="H180" s="4" t="inlineStr">
        <is>
          <t>David Njoku</t>
        </is>
      </c>
      <c r="I180" s="4" t="inlineStr">
        <is>
          <t>LAC</t>
        </is>
      </c>
      <c r="J180" s="3" t="n">
        <v>7</v>
      </c>
      <c r="K180" s="4" t="inlineStr"/>
      <c r="L180" s="13" t="inlineStr">
        <is>
          <t>Tough</t>
        </is>
      </c>
      <c r="M180" s="4" t="inlineStr"/>
      <c r="N180" s="3" t="n">
        <v>176.6</v>
      </c>
      <c r="O180" s="3" t="n">
        <v>-0.4</v>
      </c>
      <c r="P180" s="3" t="n">
        <v>-16.3</v>
      </c>
      <c r="Q180" s="4" t="inlineStr"/>
      <c r="R180" s="8" t="inlineStr">
        <is>
          <t>ECR-ranked; no dedicated situational research yet -- verify news/depth chart closer to draft time.</t>
        </is>
      </c>
    </row>
    <row r="181">
      <c r="A181" s="3" t="inlineStr"/>
      <c r="B181" s="3" t="n">
        <v>178</v>
      </c>
      <c r="C181" s="3" t="n">
        <v>10</v>
      </c>
      <c r="D181" s="3" t="inlineStr">
        <is>
          <t>Tier 10</t>
        </is>
      </c>
      <c r="E181" s="4" t="inlineStr">
        <is>
          <t>WR</t>
        </is>
      </c>
      <c r="F181" s="3" t="n">
        <v>64</v>
      </c>
      <c r="G181" s="3" t="n">
        <v>6</v>
      </c>
      <c r="H181" s="4" t="inlineStr">
        <is>
          <t>Tre' Harris</t>
        </is>
      </c>
      <c r="I181" s="4" t="inlineStr">
        <is>
          <t>LAC</t>
        </is>
      </c>
      <c r="J181" s="3" t="n">
        <v>7</v>
      </c>
      <c r="K181" s="4" t="inlineStr"/>
      <c r="L181" s="13" t="inlineStr">
        <is>
          <t>Tough</t>
        </is>
      </c>
      <c r="M181" s="4" t="inlineStr"/>
      <c r="N181" s="3" t="n">
        <v>175.3</v>
      </c>
      <c r="O181" s="3" t="n">
        <v>-2.7</v>
      </c>
      <c r="P181" s="3" t="n">
        <v>-16.4</v>
      </c>
      <c r="Q181" s="4" t="inlineStr"/>
      <c r="R181" s="8" t="inlineStr">
        <is>
          <t>ECR-ranked; no dedicated situational research yet -- verify news/depth chart closer to draft time.</t>
        </is>
      </c>
    </row>
    <row r="182">
      <c r="A182" s="3" t="inlineStr"/>
      <c r="B182" s="3" t="n">
        <v>179</v>
      </c>
      <c r="C182" s="3" t="n">
        <v>10</v>
      </c>
      <c r="D182" s="3" t="inlineStr">
        <is>
          <t>Tier 10</t>
        </is>
      </c>
      <c r="E182" s="4" t="inlineStr">
        <is>
          <t>WR</t>
        </is>
      </c>
      <c r="F182" s="3" t="n">
        <v>61</v>
      </c>
      <c r="G182" s="3" t="n">
        <v>6</v>
      </c>
      <c r="H182" s="4" t="inlineStr">
        <is>
          <t>Jerry Jeudy</t>
        </is>
      </c>
      <c r="I182" s="4" t="inlineStr">
        <is>
          <t>CLE</t>
        </is>
      </c>
      <c r="J182" s="3" t="n">
        <v>11</v>
      </c>
      <c r="K182" s="4" t="inlineStr"/>
      <c r="L182" s="5" t="inlineStr">
        <is>
          <t>Very Soft</t>
        </is>
      </c>
      <c r="M182" s="4" t="inlineStr"/>
      <c r="N182" s="3" t="n">
        <v>168.3</v>
      </c>
      <c r="O182" s="19" t="n">
        <v>-10.7</v>
      </c>
      <c r="P182" s="3" t="n">
        <v>-16.5</v>
      </c>
      <c r="Q182" s="4" t="inlineStr"/>
      <c r="R182" s="8" t="inlineStr">
        <is>
          <t>ECR-ranked; no dedicated situational research yet -- verify news/depth chart closer to draft time.</t>
        </is>
      </c>
    </row>
    <row r="183">
      <c r="A183" s="3" t="inlineStr"/>
      <c r="B183" s="3" t="n">
        <v>180</v>
      </c>
      <c r="C183" s="3" t="n">
        <v>10</v>
      </c>
      <c r="D183" s="3" t="inlineStr">
        <is>
          <t>Tier 10</t>
        </is>
      </c>
      <c r="E183" s="4" t="inlineStr">
        <is>
          <t>QB</t>
        </is>
      </c>
      <c r="F183" s="3" t="n">
        <v>28</v>
      </c>
      <c r="G183" s="3" t="n">
        <v>6</v>
      </c>
      <c r="H183" s="4" t="inlineStr">
        <is>
          <t>Geno Smith</t>
        </is>
      </c>
      <c r="I183" s="4" t="inlineStr">
        <is>
          <t>NYJ</t>
        </is>
      </c>
      <c r="J183" s="3" t="n">
        <v>13</v>
      </c>
      <c r="K183" s="4" t="inlineStr"/>
      <c r="L183" s="17" t="inlineStr">
        <is>
          <t>Soft</t>
        </is>
      </c>
      <c r="M183" s="6" t="inlineStr">
        <is>
          <t>Superflex Depth</t>
        </is>
      </c>
      <c r="N183" s="3" t="n">
        <v>147.6</v>
      </c>
      <c r="O183" s="22" t="n">
        <v>-32.4</v>
      </c>
      <c r="P183" s="3" t="n">
        <v>-16.5</v>
      </c>
      <c r="Q183" s="4" t="inlineStr"/>
      <c r="R183" s="8" t="inlineStr">
        <is>
          <t>ECR-ranked; no dedicated situational research yet -- verify news/depth chart closer to draft time.</t>
        </is>
      </c>
    </row>
    <row r="184">
      <c r="A184" s="3" t="inlineStr"/>
      <c r="B184" s="3" t="n">
        <v>181</v>
      </c>
      <c r="C184" s="3" t="n">
        <v>10</v>
      </c>
      <c r="D184" s="3" t="inlineStr">
        <is>
          <t>Tier 10</t>
        </is>
      </c>
      <c r="E184" s="4" t="inlineStr">
        <is>
          <t>RB</t>
        </is>
      </c>
      <c r="F184" s="3" t="n">
        <v>64</v>
      </c>
      <c r="G184" s="3" t="n">
        <v>6</v>
      </c>
      <c r="H184" s="4" t="inlineStr">
        <is>
          <t>Kaytron Allen</t>
        </is>
      </c>
      <c r="I184" s="4" t="inlineStr">
        <is>
          <t>WAS</t>
        </is>
      </c>
      <c r="J184" s="3" t="n">
        <v>7</v>
      </c>
      <c r="K184" s="4" t="inlineStr"/>
      <c r="L184" s="13" t="inlineStr">
        <is>
          <t>Tough</t>
        </is>
      </c>
      <c r="M184" s="4" t="inlineStr"/>
      <c r="N184" s="3" t="n">
        <v>173.7</v>
      </c>
      <c r="O184" s="19" t="n">
        <v>-7.3</v>
      </c>
      <c r="P184" s="3" t="n">
        <v>-16.9</v>
      </c>
      <c r="Q184" s="4" t="inlineStr"/>
      <c r="R184" s="8" t="inlineStr">
        <is>
          <t>ECR-ranked; no dedicated situational research yet -- verify news/depth chart closer to draft time.</t>
        </is>
      </c>
    </row>
    <row r="185">
      <c r="A185" s="3" t="inlineStr"/>
      <c r="B185" s="3" t="n">
        <v>182</v>
      </c>
      <c r="C185" s="3" t="n">
        <v>10</v>
      </c>
      <c r="D185" s="3" t="inlineStr">
        <is>
          <t>Tier 10</t>
        </is>
      </c>
      <c r="E185" s="4" t="inlineStr">
        <is>
          <t>RB</t>
        </is>
      </c>
      <c r="F185" s="3" t="n">
        <v>61</v>
      </c>
      <c r="G185" s="3" t="n">
        <v>6</v>
      </c>
      <c r="H185" s="4" t="inlineStr">
        <is>
          <t>Nicholas Singleton</t>
        </is>
      </c>
      <c r="I185" s="4" t="inlineStr">
        <is>
          <t>TEN</t>
        </is>
      </c>
      <c r="J185" s="3" t="n">
        <v>9</v>
      </c>
      <c r="K185" s="4" t="inlineStr"/>
      <c r="L185" s="5" t="inlineStr">
        <is>
          <t>Very Soft</t>
        </is>
      </c>
      <c r="M185" s="4" t="inlineStr"/>
      <c r="N185" s="3" t="n">
        <v>174.9</v>
      </c>
      <c r="O185" s="19" t="n">
        <v>-7.1</v>
      </c>
      <c r="P185" s="3" t="n">
        <v>-17.1</v>
      </c>
      <c r="Q185" s="4" t="inlineStr"/>
      <c r="R185" s="8" t="inlineStr">
        <is>
          <t>ECR-ranked; no dedicated situational research yet -- verify news/depth chart closer to draft time.</t>
        </is>
      </c>
    </row>
    <row r="186">
      <c r="A186" s="3" t="inlineStr"/>
      <c r="B186" s="3" t="n">
        <v>183</v>
      </c>
      <c r="C186" s="3" t="n">
        <v>10</v>
      </c>
      <c r="D186" s="3" t="inlineStr">
        <is>
          <t>Tier 10</t>
        </is>
      </c>
      <c r="E186" s="4" t="inlineStr">
        <is>
          <t>RB</t>
        </is>
      </c>
      <c r="F186" s="3" t="n">
        <v>63</v>
      </c>
      <c r="G186" s="3" t="n">
        <v>6</v>
      </c>
      <c r="H186" s="4" t="inlineStr">
        <is>
          <t>Jaydon Blue</t>
        </is>
      </c>
      <c r="I186" s="4" t="inlineStr">
        <is>
          <t>DAL</t>
        </is>
      </c>
      <c r="J186" s="3" t="n">
        <v>14</v>
      </c>
      <c r="K186" s="4" t="inlineStr"/>
      <c r="L186" s="17" t="inlineStr">
        <is>
          <t>Soft</t>
        </is>
      </c>
      <c r="M186" s="4" t="inlineStr"/>
      <c r="N186" s="3" t="n">
        <v>173.7</v>
      </c>
      <c r="O186" s="19" t="n">
        <v>-9.300000000000001</v>
      </c>
      <c r="P186" s="3" t="n">
        <v>-17.3</v>
      </c>
      <c r="Q186" s="4" t="inlineStr"/>
      <c r="R186" s="8" t="inlineStr">
        <is>
          <t>ECR-ranked; no dedicated situational research yet -- verify news/depth chart closer to draft time.</t>
        </is>
      </c>
    </row>
    <row r="187">
      <c r="A187" s="3" t="inlineStr"/>
      <c r="B187" s="3" t="n">
        <v>184</v>
      </c>
      <c r="C187" s="3" t="n">
        <v>10</v>
      </c>
      <c r="D187" s="3" t="inlineStr">
        <is>
          <t>Tier 10</t>
        </is>
      </c>
      <c r="E187" s="4" t="inlineStr">
        <is>
          <t>RB</t>
        </is>
      </c>
      <c r="F187" s="3" t="n">
        <v>62</v>
      </c>
      <c r="G187" s="3" t="n">
        <v>6</v>
      </c>
      <c r="H187" s="4" t="inlineStr">
        <is>
          <t>Sean Tucker</t>
        </is>
      </c>
      <c r="I187" s="4" t="inlineStr">
        <is>
          <t>TB</t>
        </is>
      </c>
      <c r="J187" s="3" t="n">
        <v>10</v>
      </c>
      <c r="K187" s="4" t="inlineStr"/>
      <c r="L187" s="5" t="inlineStr">
        <is>
          <t>Very Soft</t>
        </is>
      </c>
      <c r="M187" s="4" t="inlineStr"/>
      <c r="N187" s="3" t="n">
        <v>177.3</v>
      </c>
      <c r="O187" s="19" t="n">
        <v>-6.7</v>
      </c>
      <c r="P187" s="3" t="n">
        <v>-17.4</v>
      </c>
      <c r="Q187" s="4" t="inlineStr"/>
      <c r="R187" s="8" t="inlineStr">
        <is>
          <t>ECR-ranked; no dedicated situational research yet -- verify news/depth chart closer to draft time.</t>
        </is>
      </c>
    </row>
    <row r="188">
      <c r="A188" s="3" t="inlineStr"/>
      <c r="B188" s="3" t="n">
        <v>185</v>
      </c>
      <c r="C188" s="3" t="n">
        <v>10</v>
      </c>
      <c r="D188" s="3" t="inlineStr">
        <is>
          <t>Tier 10</t>
        </is>
      </c>
      <c r="E188" s="4" t="inlineStr">
        <is>
          <t>RB</t>
        </is>
      </c>
      <c r="F188" s="3" t="n">
        <v>65</v>
      </c>
      <c r="G188" s="3" t="n">
        <v>6</v>
      </c>
      <c r="H188" s="4" t="inlineStr">
        <is>
          <t>George Holani</t>
        </is>
      </c>
      <c r="I188" s="4" t="inlineStr">
        <is>
          <t>SEA</t>
        </is>
      </c>
      <c r="J188" s="3" t="n">
        <v>11</v>
      </c>
      <c r="K188" s="4" t="inlineStr"/>
      <c r="L188" s="11" t="inlineStr">
        <is>
          <t>Neutral</t>
        </is>
      </c>
      <c r="M188" s="4" t="inlineStr"/>
      <c r="N188" s="3" t="n">
        <v>175.4</v>
      </c>
      <c r="O188" s="19" t="n">
        <v>-9.6</v>
      </c>
      <c r="P188" s="3" t="n">
        <v>-17.6</v>
      </c>
      <c r="Q188" s="4" t="inlineStr"/>
      <c r="R188" s="8" t="inlineStr">
        <is>
          <t>ECR-ranked; no dedicated situational research yet -- verify news/depth chart closer to draft time.</t>
        </is>
      </c>
    </row>
    <row r="189">
      <c r="A189" s="3" t="inlineStr"/>
      <c r="B189" s="3" t="n">
        <v>186</v>
      </c>
      <c r="C189" s="3" t="n">
        <v>10</v>
      </c>
      <c r="D189" s="3" t="inlineStr">
        <is>
          <t>Tier 10</t>
        </is>
      </c>
      <c r="E189" s="4" t="inlineStr">
        <is>
          <t>WR</t>
        </is>
      </c>
      <c r="F189" s="3" t="n">
        <v>63</v>
      </c>
      <c r="G189" s="3" t="n">
        <v>6</v>
      </c>
      <c r="H189" s="4" t="inlineStr">
        <is>
          <t>Jauan Jennings</t>
        </is>
      </c>
      <c r="I189" s="4" t="inlineStr">
        <is>
          <t>MIN</t>
        </is>
      </c>
      <c r="J189" s="3" t="n">
        <v>6</v>
      </c>
      <c r="K189" s="12" t="inlineStr">
        <is>
          <t>YES</t>
        </is>
      </c>
      <c r="L189" s="17" t="inlineStr">
        <is>
          <t>Soft</t>
        </is>
      </c>
      <c r="M189" s="4" t="inlineStr"/>
      <c r="N189" s="3" t="n">
        <v>170.4</v>
      </c>
      <c r="O189" s="22" t="n">
        <v>-15.6</v>
      </c>
      <c r="P189" s="3" t="n">
        <v>-17.8</v>
      </c>
      <c r="Q189" s="16" t="inlineStr">
        <is>
          <t>BUST</t>
        </is>
      </c>
      <c r="R189" s="8" t="inlineStr">
        <is>
          <t>Contract year; excellent blocker but caps his own target share behind Addison</t>
        </is>
      </c>
    </row>
    <row r="190">
      <c r="A190" s="3" t="inlineStr"/>
      <c r="B190" s="3" t="n">
        <v>187</v>
      </c>
      <c r="C190" s="3" t="n">
        <v>10</v>
      </c>
      <c r="D190" s="3" t="inlineStr">
        <is>
          <t>Tier 10</t>
        </is>
      </c>
      <c r="E190" s="4" t="inlineStr">
        <is>
          <t>WR</t>
        </is>
      </c>
      <c r="F190" s="3" t="n">
        <v>65</v>
      </c>
      <c r="G190" s="3" t="n">
        <v>6</v>
      </c>
      <c r="H190" s="4" t="inlineStr">
        <is>
          <t>Dontayvion Wicks</t>
        </is>
      </c>
      <c r="I190" s="4" t="inlineStr">
        <is>
          <t>PHI</t>
        </is>
      </c>
      <c r="J190" s="3" t="n">
        <v>10</v>
      </c>
      <c r="K190" s="4" t="inlineStr"/>
      <c r="L190" s="5" t="inlineStr">
        <is>
          <t>Very Soft</t>
        </is>
      </c>
      <c r="M190" s="4" t="inlineStr"/>
      <c r="N190" s="3" t="n">
        <v>171.3</v>
      </c>
      <c r="O190" s="22" t="n">
        <v>-15.7</v>
      </c>
      <c r="P190" s="3" t="n">
        <v>-18</v>
      </c>
      <c r="Q190" s="4" t="inlineStr"/>
      <c r="R190" s="8" t="inlineStr">
        <is>
          <t>ECR-ranked; no dedicated situational research yet -- verify news/depth chart closer to draft time.</t>
        </is>
      </c>
    </row>
    <row r="191">
      <c r="A191" s="3" t="inlineStr"/>
      <c r="B191" s="3" t="n">
        <v>188</v>
      </c>
      <c r="C191" s="3" t="n">
        <v>10</v>
      </c>
      <c r="D191" s="3" t="inlineStr">
        <is>
          <t>Tier 10</t>
        </is>
      </c>
      <c r="E191" s="4" t="inlineStr">
        <is>
          <t>RB</t>
        </is>
      </c>
      <c r="F191" s="3" t="n">
        <v>68</v>
      </c>
      <c r="G191" s="3" t="n">
        <v>6</v>
      </c>
      <c r="H191" s="4" t="inlineStr">
        <is>
          <t>Jaylen Wright</t>
        </is>
      </c>
      <c r="I191" s="4" t="inlineStr">
        <is>
          <t>MIA</t>
        </is>
      </c>
      <c r="J191" s="3" t="n">
        <v>6</v>
      </c>
      <c r="K191" s="4" t="inlineStr"/>
      <c r="L191" s="13" t="inlineStr">
        <is>
          <t>Tough</t>
        </is>
      </c>
      <c r="M191" s="4" t="inlineStr"/>
      <c r="N191" s="3" t="n">
        <v>180</v>
      </c>
      <c r="O191" s="19" t="n">
        <v>-8</v>
      </c>
      <c r="P191" s="3" t="n">
        <v>-18.1</v>
      </c>
      <c r="Q191" s="4" t="inlineStr"/>
      <c r="R191" s="8" t="inlineStr">
        <is>
          <t>ECR-ranked; no dedicated situational research yet -- verify news/depth chart closer to draft time.</t>
        </is>
      </c>
    </row>
    <row r="192">
      <c r="A192" s="3" t="inlineStr"/>
      <c r="B192" s="3" t="n">
        <v>189</v>
      </c>
      <c r="C192" s="3" t="n">
        <v>10</v>
      </c>
      <c r="D192" s="3" t="inlineStr">
        <is>
          <t>Tier 10</t>
        </is>
      </c>
      <c r="E192" s="4" t="inlineStr">
        <is>
          <t>QB</t>
        </is>
      </c>
      <c r="F192" s="3" t="n">
        <v>29</v>
      </c>
      <c r="G192" s="3" t="n">
        <v>6</v>
      </c>
      <c r="H192" s="4" t="inlineStr">
        <is>
          <t>Aaron Rodgers</t>
        </is>
      </c>
      <c r="I192" s="4" t="inlineStr">
        <is>
          <t>PIT</t>
        </is>
      </c>
      <c r="J192" s="3" t="n">
        <v>9</v>
      </c>
      <c r="K192" s="12" t="inlineStr">
        <is>
          <t>YES</t>
        </is>
      </c>
      <c r="L192" s="13" t="inlineStr">
        <is>
          <t>Tough</t>
        </is>
      </c>
      <c r="M192" s="6" t="inlineStr">
        <is>
          <t>Superflex Depth</t>
        </is>
      </c>
      <c r="N192" s="3" t="n">
        <v>143.3</v>
      </c>
      <c r="O192" s="22" t="n">
        <v>-45.7</v>
      </c>
      <c r="P192" s="3" t="n">
        <v>-18.3</v>
      </c>
      <c r="Q192" s="21" t="inlineStr">
        <is>
          <t>DEPTH</t>
        </is>
      </c>
      <c r="R192" s="8" t="inlineStr">
        <is>
          <t>Contract year; age 42, late-round streamer only</t>
        </is>
      </c>
    </row>
    <row r="193">
      <c r="A193" s="3" t="inlineStr"/>
      <c r="B193" s="3" t="n">
        <v>190</v>
      </c>
      <c r="C193" s="3" t="n">
        <v>10</v>
      </c>
      <c r="D193" s="3" t="inlineStr">
        <is>
          <t>Tier 10</t>
        </is>
      </c>
      <c r="E193" s="4" t="inlineStr">
        <is>
          <t>RB</t>
        </is>
      </c>
      <c r="F193" s="3" t="n">
        <v>66</v>
      </c>
      <c r="G193" s="3" t="n">
        <v>6</v>
      </c>
      <c r="H193" s="4" t="inlineStr">
        <is>
          <t>James Conner</t>
        </is>
      </c>
      <c r="I193" s="4" t="inlineStr">
        <is>
          <t>ARI</t>
        </is>
      </c>
      <c r="J193" s="3" t="n">
        <v>14</v>
      </c>
      <c r="K193" s="12" t="inlineStr">
        <is>
          <t>YES</t>
        </is>
      </c>
      <c r="L193" s="13" t="inlineStr">
        <is>
          <t>Tough</t>
        </is>
      </c>
      <c r="M193" s="4" t="inlineStr"/>
      <c r="N193" s="3" t="n">
        <v>171.5</v>
      </c>
      <c r="O193" s="22" t="n">
        <v>-18.5</v>
      </c>
      <c r="P193" s="3" t="n">
        <v>-18.3</v>
      </c>
      <c r="Q193" s="21" t="inlineStr">
        <is>
          <t>DEPTH</t>
        </is>
      </c>
      <c r="R193" s="8" t="inlineStr">
        <is>
          <t>Contract year; Arizona's early-down/goal-line starter</t>
        </is>
      </c>
    </row>
    <row r="194">
      <c r="A194" s="3" t="inlineStr"/>
      <c r="B194" s="3" t="n">
        <v>191</v>
      </c>
      <c r="C194" s="3" t="n">
        <v>10</v>
      </c>
      <c r="D194" s="3" t="inlineStr">
        <is>
          <t>Tier 10</t>
        </is>
      </c>
      <c r="E194" s="4" t="inlineStr">
        <is>
          <t>WR</t>
        </is>
      </c>
      <c r="F194" s="3" t="n">
        <v>71</v>
      </c>
      <c r="G194" s="3" t="n">
        <v>6</v>
      </c>
      <c r="H194" s="4" t="inlineStr">
        <is>
          <t>Jalen Nailor</t>
        </is>
      </c>
      <c r="I194" s="4" t="inlineStr">
        <is>
          <t>LV</t>
        </is>
      </c>
      <c r="J194" s="3" t="n">
        <v>13</v>
      </c>
      <c r="K194" s="4" t="inlineStr"/>
      <c r="L194" s="9" t="inlineStr">
        <is>
          <t>Gauntlet</t>
        </is>
      </c>
      <c r="M194" s="4" t="inlineStr"/>
      <c r="N194" s="3" t="n">
        <v>162.2</v>
      </c>
      <c r="O194" s="22" t="n">
        <v>-28.8</v>
      </c>
      <c r="P194" s="3" t="n">
        <v>-18.4</v>
      </c>
      <c r="Q194" s="4" t="inlineStr"/>
      <c r="R194" s="8" t="inlineStr">
        <is>
          <t>ECR-ranked; no dedicated situational research yet -- verify news/depth chart closer to draft time.</t>
        </is>
      </c>
    </row>
    <row r="195">
      <c r="A195" s="3" t="inlineStr"/>
      <c r="B195" s="3" t="n">
        <v>192</v>
      </c>
      <c r="C195" s="3" t="n">
        <v>10</v>
      </c>
      <c r="D195" s="3" t="inlineStr">
        <is>
          <t>Tier 10</t>
        </is>
      </c>
      <c r="E195" s="4" t="inlineStr">
        <is>
          <t>WR</t>
        </is>
      </c>
      <c r="F195" s="3" t="n">
        <v>70</v>
      </c>
      <c r="G195" s="3" t="n">
        <v>6</v>
      </c>
      <c r="H195" s="4" t="inlineStr">
        <is>
          <t>Malik Washington</t>
        </is>
      </c>
      <c r="I195" s="4" t="inlineStr">
        <is>
          <t>MIA</t>
        </is>
      </c>
      <c r="J195" s="3" t="n">
        <v>6</v>
      </c>
      <c r="K195" s="4" t="inlineStr"/>
      <c r="L195" s="13" t="inlineStr">
        <is>
          <t>Tough</t>
        </is>
      </c>
      <c r="M195" s="4" t="inlineStr"/>
      <c r="N195" s="3" t="n">
        <v>166.5</v>
      </c>
      <c r="O195" s="22" t="n">
        <v>-25.5</v>
      </c>
      <c r="P195" s="3" t="n">
        <v>-18.5</v>
      </c>
      <c r="Q195" s="4" t="inlineStr"/>
      <c r="R195" s="8" t="inlineStr">
        <is>
          <t>ECR-ranked; no dedicated situational research yet -- verify news/depth chart closer to draft time.</t>
        </is>
      </c>
    </row>
    <row r="196">
      <c r="A196" s="3" t="inlineStr"/>
      <c r="B196" s="3" t="n">
        <v>193</v>
      </c>
      <c r="C196" s="3" t="n">
        <v>10</v>
      </c>
      <c r="D196" s="3" t="inlineStr">
        <is>
          <t>Tier 10</t>
        </is>
      </c>
      <c r="E196" s="4" t="inlineStr">
        <is>
          <t>RB</t>
        </is>
      </c>
      <c r="F196" s="3" t="n">
        <v>69</v>
      </c>
      <c r="G196" s="3" t="n">
        <v>6</v>
      </c>
      <c r="H196" s="4" t="inlineStr">
        <is>
          <t>Kaelon Black</t>
        </is>
      </c>
      <c r="I196" s="4" t="inlineStr">
        <is>
          <t>SF</t>
        </is>
      </c>
      <c r="J196" s="3" t="n">
        <v>8</v>
      </c>
      <c r="K196" s="4" t="inlineStr"/>
      <c r="L196" s="11" t="inlineStr">
        <is>
          <t>Neutral</t>
        </is>
      </c>
      <c r="M196" s="4" t="inlineStr"/>
      <c r="N196" s="3" t="n">
        <v>166.8</v>
      </c>
      <c r="O196" s="22" t="n">
        <v>-26.2</v>
      </c>
      <c r="P196" s="3" t="n">
        <v>-18.5</v>
      </c>
      <c r="Q196" s="23" t="inlineStr">
        <is>
          <t>HANDCUFF</t>
        </is>
      </c>
      <c r="R196" s="8" t="inlineStr">
        <is>
          <t>Competing for McCaffrey's direct backup job</t>
        </is>
      </c>
    </row>
    <row r="197">
      <c r="A197" s="3" t="inlineStr"/>
      <c r="B197" s="3" t="n">
        <v>194</v>
      </c>
      <c r="C197" s="3" t="n">
        <v>10</v>
      </c>
      <c r="D197" s="3" t="inlineStr">
        <is>
          <t>Tier 10</t>
        </is>
      </c>
      <c r="E197" s="4" t="inlineStr">
        <is>
          <t>TE</t>
        </is>
      </c>
      <c r="F197" s="3" t="n">
        <v>31</v>
      </c>
      <c r="G197" s="3" t="n">
        <v>6</v>
      </c>
      <c r="H197" s="4" t="inlineStr">
        <is>
          <t>Colby Parkinson</t>
        </is>
      </c>
      <c r="I197" s="4" t="inlineStr">
        <is>
          <t>LAR</t>
        </is>
      </c>
      <c r="J197" s="3" t="n">
        <v>11</v>
      </c>
      <c r="K197" s="12" t="inlineStr">
        <is>
          <t>YES</t>
        </is>
      </c>
      <c r="L197" s="13" t="inlineStr">
        <is>
          <t>Tough</t>
        </is>
      </c>
      <c r="M197" s="4" t="inlineStr"/>
      <c r="N197" s="3" t="n">
        <v>174.4</v>
      </c>
      <c r="O197" s="22" t="n">
        <v>-19.6</v>
      </c>
      <c r="P197" s="3" t="n">
        <v>-18.6</v>
      </c>
      <c r="Q197" s="21" t="inlineStr">
        <is>
          <t>DEPTH</t>
        </is>
      </c>
      <c r="R197" s="8" t="inlineStr">
        <is>
          <t>Contract year; Rams TE2</t>
        </is>
      </c>
    </row>
    <row r="198">
      <c r="A198" s="3" t="inlineStr"/>
      <c r="B198" s="3" t="n">
        <v>195</v>
      </c>
      <c r="C198" s="3" t="n">
        <v>10</v>
      </c>
      <c r="D198" s="3" t="inlineStr">
        <is>
          <t>Tier 10</t>
        </is>
      </c>
      <c r="E198" s="4" t="inlineStr">
        <is>
          <t>QB</t>
        </is>
      </c>
      <c r="F198" s="3" t="n">
        <v>30</v>
      </c>
      <c r="G198" s="3" t="n">
        <v>6</v>
      </c>
      <c r="H198" s="4" t="inlineStr">
        <is>
          <t>Fernando Mendoza</t>
        </is>
      </c>
      <c r="I198" s="4" t="inlineStr">
        <is>
          <t>LV</t>
        </is>
      </c>
      <c r="J198" s="3" t="n">
        <v>13</v>
      </c>
      <c r="K198" s="4" t="inlineStr"/>
      <c r="L198" s="9" t="inlineStr">
        <is>
          <t>Gauntlet</t>
        </is>
      </c>
      <c r="M198" s="6" t="inlineStr">
        <is>
          <t>Superflex Depth</t>
        </is>
      </c>
      <c r="N198" s="3" t="n">
        <v>134.6</v>
      </c>
      <c r="O198" s="22" t="n">
        <v>-60.4</v>
      </c>
      <c r="P198" s="3" t="n">
        <v>-18.6</v>
      </c>
      <c r="Q198" s="4" t="inlineStr"/>
      <c r="R198" s="8" t="inlineStr">
        <is>
          <t>ECR-ranked; no dedicated situational research yet -- verify news/depth chart closer to draft time.</t>
        </is>
      </c>
    </row>
    <row r="199">
      <c r="A199" s="3" t="inlineStr"/>
      <c r="B199" s="3" t="n">
        <v>196</v>
      </c>
      <c r="C199" s="3" t="n">
        <v>10</v>
      </c>
      <c r="D199" s="3" t="inlineStr">
        <is>
          <t>Tier 10</t>
        </is>
      </c>
      <c r="E199" s="4" t="inlineStr">
        <is>
          <t>TE</t>
        </is>
      </c>
      <c r="F199" s="3" t="n">
        <v>30</v>
      </c>
      <c r="G199" s="3" t="n">
        <v>6</v>
      </c>
      <c r="H199" s="4" t="inlineStr">
        <is>
          <t>Evan Engram</t>
        </is>
      </c>
      <c r="I199" s="4" t="inlineStr">
        <is>
          <t>DEN</t>
        </is>
      </c>
      <c r="J199" s="3" t="n">
        <v>10</v>
      </c>
      <c r="K199" s="12" t="inlineStr">
        <is>
          <t>YES</t>
        </is>
      </c>
      <c r="L199" s="17" t="inlineStr">
        <is>
          <t>Soft</t>
        </is>
      </c>
      <c r="M199" s="4" t="inlineStr"/>
      <c r="N199" s="3" t="n">
        <v>176.8</v>
      </c>
      <c r="O199" s="22" t="n">
        <v>-19.2</v>
      </c>
      <c r="P199" s="3" t="n">
        <v>-18.7</v>
      </c>
      <c r="Q199" s="21" t="inlineStr">
        <is>
          <t>DEPTH</t>
        </is>
      </c>
      <c r="R199" s="8" t="inlineStr">
        <is>
          <t>Contract year; Broncos starting TE</t>
        </is>
      </c>
    </row>
    <row r="200">
      <c r="A200" s="3" t="inlineStr"/>
      <c r="B200" s="3" t="n">
        <v>197</v>
      </c>
      <c r="C200" s="3" t="n">
        <v>10</v>
      </c>
      <c r="D200" s="3" t="inlineStr">
        <is>
          <t>Tier 10</t>
        </is>
      </c>
      <c r="E200" s="4" t="inlineStr">
        <is>
          <t>WR</t>
        </is>
      </c>
      <c r="F200" s="3" t="n">
        <v>68</v>
      </c>
      <c r="G200" s="3" t="n">
        <v>6</v>
      </c>
      <c r="H200" s="4" t="inlineStr">
        <is>
          <t>Pat Bryant</t>
        </is>
      </c>
      <c r="I200" s="4" t="inlineStr">
        <is>
          <t>DEN</t>
        </is>
      </c>
      <c r="J200" s="3" t="n">
        <v>10</v>
      </c>
      <c r="K200" s="4" t="inlineStr"/>
      <c r="L200" s="17" t="inlineStr">
        <is>
          <t>Soft</t>
        </is>
      </c>
      <c r="M200" s="4" t="inlineStr"/>
      <c r="N200" s="3" t="n">
        <v>172.1</v>
      </c>
      <c r="O200" s="22" t="n">
        <v>-24.9</v>
      </c>
      <c r="P200" s="3" t="n">
        <v>-18.7</v>
      </c>
      <c r="Q200" s="4" t="inlineStr"/>
      <c r="R200" s="8" t="inlineStr">
        <is>
          <t>ECR-ranked; no dedicated situational research yet -- verify news/depth chart closer to draft time.</t>
        </is>
      </c>
    </row>
    <row r="201">
      <c r="A201" s="3" t="inlineStr"/>
      <c r="B201" s="3" t="n">
        <v>198</v>
      </c>
      <c r="C201" s="3" t="n">
        <v>10</v>
      </c>
      <c r="D201" s="3" t="inlineStr">
        <is>
          <t>Tier 10</t>
        </is>
      </c>
      <c r="E201" s="4" t="inlineStr">
        <is>
          <t>WR</t>
        </is>
      </c>
      <c r="F201" s="3" t="n">
        <v>69</v>
      </c>
      <c r="G201" s="3" t="n">
        <v>6</v>
      </c>
      <c r="H201" s="4" t="inlineStr">
        <is>
          <t>Omar Cooper Jr.</t>
        </is>
      </c>
      <c r="I201" s="4" t="inlineStr">
        <is>
          <t>NYJ</t>
        </is>
      </c>
      <c r="J201" s="3" t="n">
        <v>13</v>
      </c>
      <c r="K201" s="4" t="inlineStr"/>
      <c r="L201" s="17" t="inlineStr">
        <is>
          <t>Soft</t>
        </is>
      </c>
      <c r="M201" s="4" t="inlineStr"/>
      <c r="N201" s="3" t="n">
        <v>169.3</v>
      </c>
      <c r="O201" s="22" t="n">
        <v>-28.7</v>
      </c>
      <c r="P201" s="3" t="n">
        <v>-18.9</v>
      </c>
      <c r="Q201" s="4" t="inlineStr"/>
      <c r="R201" s="8" t="inlineStr">
        <is>
          <t>ECR-ranked; no dedicated situational research yet -- verify news/depth chart closer to draft time.</t>
        </is>
      </c>
    </row>
    <row r="202">
      <c r="A202" s="3" t="inlineStr"/>
      <c r="B202" s="3" t="n">
        <v>199</v>
      </c>
      <c r="C202" s="3" t="n">
        <v>10</v>
      </c>
      <c r="D202" s="3" t="inlineStr">
        <is>
          <t>Tier 10</t>
        </is>
      </c>
      <c r="E202" s="4" t="inlineStr">
        <is>
          <t>RB</t>
        </is>
      </c>
      <c r="F202" s="3" t="n">
        <v>67</v>
      </c>
      <c r="G202" s="3" t="n">
        <v>6</v>
      </c>
      <c r="H202" s="4" t="inlineStr">
        <is>
          <t>Emanuel Wilson</t>
        </is>
      </c>
      <c r="I202" s="4" t="inlineStr">
        <is>
          <t>SEA</t>
        </is>
      </c>
      <c r="J202" s="3" t="n">
        <v>11</v>
      </c>
      <c r="K202" s="12" t="inlineStr">
        <is>
          <t>YES</t>
        </is>
      </c>
      <c r="L202" s="11" t="inlineStr">
        <is>
          <t>Neutral</t>
        </is>
      </c>
      <c r="M202" s="4" t="inlineStr"/>
      <c r="N202" s="3" t="n"/>
      <c r="O202" s="3" t="n"/>
      <c r="P202" s="3" t="n">
        <v>-19.1</v>
      </c>
      <c r="Q202" s="21" t="inlineStr">
        <is>
          <t>DEPTH</t>
        </is>
      </c>
      <c r="R202" s="8" t="inlineStr">
        <is>
          <t>Contract year; Seattle depth behind the Price/Charbonnet battle</t>
        </is>
      </c>
    </row>
    <row r="203">
      <c r="A203" s="3" t="inlineStr"/>
      <c r="B203" s="3" t="n">
        <v>200</v>
      </c>
      <c r="C203" s="3" t="n">
        <v>10</v>
      </c>
      <c r="D203" s="3" t="inlineStr">
        <is>
          <t>Tier 10</t>
        </is>
      </c>
      <c r="E203" s="4" t="inlineStr">
        <is>
          <t>TE</t>
        </is>
      </c>
      <c r="F203" s="3" t="n">
        <v>32</v>
      </c>
      <c r="G203" s="3" t="n">
        <v>6</v>
      </c>
      <c r="H203" s="4" t="inlineStr">
        <is>
          <t>Greg Dulcich</t>
        </is>
      </c>
      <c r="I203" s="4" t="inlineStr">
        <is>
          <t>MIA</t>
        </is>
      </c>
      <c r="J203" s="3" t="n">
        <v>6</v>
      </c>
      <c r="K203" s="12" t="inlineStr">
        <is>
          <t>YES</t>
        </is>
      </c>
      <c r="L203" s="13" t="inlineStr">
        <is>
          <t>Tough</t>
        </is>
      </c>
      <c r="M203" s="4" t="inlineStr"/>
      <c r="N203" s="3" t="n">
        <v>176.6</v>
      </c>
      <c r="O203" s="22" t="n">
        <v>-23.4</v>
      </c>
      <c r="P203" s="3" t="n">
        <v>-19.2</v>
      </c>
      <c r="Q203" s="21" t="inlineStr">
        <is>
          <t>DEPTH</t>
        </is>
      </c>
      <c r="R203" s="8" t="inlineStr">
        <is>
          <t>Contract year; Dolphins starting TE</t>
        </is>
      </c>
    </row>
    <row r="204">
      <c r="A204" s="3" t="inlineStr"/>
      <c r="B204" s="3" t="n">
        <v>201</v>
      </c>
      <c r="C204" s="3" t="n">
        <v>10</v>
      </c>
      <c r="D204" s="3" t="inlineStr">
        <is>
          <t>Tier 10</t>
        </is>
      </c>
      <c r="E204" s="4" t="inlineStr">
        <is>
          <t>WR</t>
        </is>
      </c>
      <c r="F204" s="3" t="n">
        <v>66</v>
      </c>
      <c r="G204" s="3" t="n">
        <v>6</v>
      </c>
      <c r="H204" s="4" t="inlineStr">
        <is>
          <t>Kayshon Boutte</t>
        </is>
      </c>
      <c r="I204" s="4" t="inlineStr">
        <is>
          <t>HOU</t>
        </is>
      </c>
      <c r="J204" s="3" t="n">
        <v>8</v>
      </c>
      <c r="K204" s="12" t="inlineStr">
        <is>
          <t>YES</t>
        </is>
      </c>
      <c r="L204" s="5" t="inlineStr">
        <is>
          <t>Very Soft</t>
        </is>
      </c>
      <c r="M204" s="4" t="inlineStr"/>
      <c r="N204" s="3" t="n">
        <v>167.7</v>
      </c>
      <c r="O204" s="22" t="n">
        <v>-33.3</v>
      </c>
      <c r="P204" s="3" t="n">
        <v>-19.2</v>
      </c>
      <c r="Q204" s="21" t="inlineStr">
        <is>
          <t>DEPTH</t>
        </is>
      </c>
      <c r="R204" s="8" t="inlineStr">
        <is>
          <t>Contract year; Texans depth</t>
        </is>
      </c>
    </row>
    <row r="205">
      <c r="A205" s="3" t="inlineStr"/>
      <c r="B205" s="3" t="n">
        <v>202</v>
      </c>
      <c r="C205" s="3" t="n">
        <v>10</v>
      </c>
      <c r="D205" s="3" t="inlineStr">
        <is>
          <t>Tier 10</t>
        </is>
      </c>
      <c r="E205" s="4" t="inlineStr">
        <is>
          <t>WR</t>
        </is>
      </c>
      <c r="F205" s="3" t="n">
        <v>67</v>
      </c>
      <c r="G205" s="3" t="n">
        <v>6</v>
      </c>
      <c r="H205" s="4" t="inlineStr">
        <is>
          <t>Ryan Flournoy</t>
        </is>
      </c>
      <c r="I205" s="4" t="inlineStr">
        <is>
          <t>DAL</t>
        </is>
      </c>
      <c r="J205" s="3" t="n">
        <v>14</v>
      </c>
      <c r="K205" s="12" t="inlineStr">
        <is>
          <t>YES</t>
        </is>
      </c>
      <c r="L205" s="17" t="inlineStr">
        <is>
          <t>Soft</t>
        </is>
      </c>
      <c r="M205" s="4" t="inlineStr"/>
      <c r="N205" s="3" t="n">
        <v>175.9</v>
      </c>
      <c r="O205" s="22" t="n">
        <v>-26.1</v>
      </c>
      <c r="P205" s="3" t="n">
        <v>-19.4</v>
      </c>
      <c r="Q205" s="21" t="inlineStr">
        <is>
          <t>DEPTH</t>
        </is>
      </c>
      <c r="R205" s="8" t="inlineStr">
        <is>
          <t>Contract year; Cowboys depth</t>
        </is>
      </c>
    </row>
    <row r="206">
      <c r="A206" s="3" t="inlineStr"/>
      <c r="B206" s="3" t="n">
        <v>203</v>
      </c>
      <c r="C206" s="3" t="n">
        <v>10</v>
      </c>
      <c r="D206" s="3" t="inlineStr">
        <is>
          <t>Tier 10</t>
        </is>
      </c>
      <c r="E206" s="4" t="inlineStr">
        <is>
          <t>TE</t>
        </is>
      </c>
      <c r="F206" s="3" t="n">
        <v>33</v>
      </c>
      <c r="G206" s="3" t="n">
        <v>6</v>
      </c>
      <c r="H206" s="4" t="inlineStr">
        <is>
          <t>Mason Taylor</t>
        </is>
      </c>
      <c r="I206" s="4" t="inlineStr">
        <is>
          <t>NYJ</t>
        </is>
      </c>
      <c r="J206" s="3" t="n">
        <v>13</v>
      </c>
      <c r="K206" s="4" t="inlineStr"/>
      <c r="L206" s="17" t="inlineStr">
        <is>
          <t>Soft</t>
        </is>
      </c>
      <c r="M206" s="4" t="inlineStr"/>
      <c r="N206" s="3" t="n"/>
      <c r="O206" s="3" t="n"/>
      <c r="P206" s="3" t="n">
        <v>-19.5</v>
      </c>
      <c r="Q206" s="4" t="inlineStr"/>
      <c r="R206" s="8" t="inlineStr">
        <is>
          <t>ECR-ranked; no dedicated situational research yet -- verify news/depth chart closer to draft time.</t>
        </is>
      </c>
    </row>
    <row r="207">
      <c r="A207" s="3" t="inlineStr"/>
      <c r="B207" s="3" t="n">
        <v>204</v>
      </c>
      <c r="C207" s="3" t="n">
        <v>10</v>
      </c>
      <c r="D207" s="3" t="inlineStr">
        <is>
          <t>Tier 10</t>
        </is>
      </c>
      <c r="E207" s="4" t="inlineStr">
        <is>
          <t>RB</t>
        </is>
      </c>
      <c r="F207" s="3" t="n">
        <v>73</v>
      </c>
      <c r="G207" s="3" t="n">
        <v>6</v>
      </c>
      <c r="H207" s="4" t="inlineStr">
        <is>
          <t>Jordan James</t>
        </is>
      </c>
      <c r="I207" s="4" t="inlineStr">
        <is>
          <t>SF</t>
        </is>
      </c>
      <c r="J207" s="3" t="n">
        <v>8</v>
      </c>
      <c r="K207" s="4" t="inlineStr"/>
      <c r="L207" s="11" t="inlineStr">
        <is>
          <t>Neutral</t>
        </is>
      </c>
      <c r="M207" s="4" t="inlineStr"/>
      <c r="N207" s="3" t="n">
        <v>176.3</v>
      </c>
      <c r="O207" s="22" t="n">
        <v>-27.7</v>
      </c>
      <c r="P207" s="3" t="n">
        <v>-19.5</v>
      </c>
      <c r="Q207" s="23" t="inlineStr">
        <is>
          <t>HANDCUFF</t>
        </is>
      </c>
      <c r="R207" s="8" t="inlineStr">
        <is>
          <t>Competing for McCaffrey's direct backup job</t>
        </is>
      </c>
    </row>
    <row r="208">
      <c r="A208" s="3" t="inlineStr"/>
      <c r="B208" s="3" t="n">
        <v>205</v>
      </c>
      <c r="C208" s="3" t="n">
        <v>10</v>
      </c>
      <c r="D208" s="3" t="inlineStr">
        <is>
          <t>Tier 10</t>
        </is>
      </c>
      <c r="E208" s="4" t="inlineStr">
        <is>
          <t>RB</t>
        </is>
      </c>
      <c r="F208" s="3" t="n">
        <v>70</v>
      </c>
      <c r="G208" s="3" t="n">
        <v>6</v>
      </c>
      <c r="H208" s="4" t="inlineStr">
        <is>
          <t>Justice Hill</t>
        </is>
      </c>
      <c r="I208" s="4" t="inlineStr">
        <is>
          <t>BAL</t>
        </is>
      </c>
      <c r="J208" s="3" t="n">
        <v>13</v>
      </c>
      <c r="K208" s="12" t="inlineStr">
        <is>
          <t>YES</t>
        </is>
      </c>
      <c r="L208" s="13" t="inlineStr">
        <is>
          <t>Tough</t>
        </is>
      </c>
      <c r="M208" s="4" t="inlineStr"/>
      <c r="N208" s="3" t="n">
        <v>172.1</v>
      </c>
      <c r="O208" s="22" t="n">
        <v>-32.9</v>
      </c>
      <c r="P208" s="3" t="n">
        <v>-19.7</v>
      </c>
      <c r="Q208" s="21" t="inlineStr">
        <is>
          <t>DEPTH</t>
        </is>
      </c>
      <c r="R208" s="8" t="inlineStr">
        <is>
          <t>Contract year; Ravens passing-down back</t>
        </is>
      </c>
    </row>
    <row r="209">
      <c r="A209" s="3" t="inlineStr"/>
      <c r="B209" s="3" t="n">
        <v>206</v>
      </c>
      <c r="C209" s="3" t="n">
        <v>10</v>
      </c>
      <c r="D209" s="3" t="inlineStr">
        <is>
          <t>Tier 10</t>
        </is>
      </c>
      <c r="E209" s="4" t="inlineStr">
        <is>
          <t>WR</t>
        </is>
      </c>
      <c r="F209" s="3" t="n">
        <v>75</v>
      </c>
      <c r="G209" s="3" t="n">
        <v>6</v>
      </c>
      <c r="H209" s="4" t="inlineStr">
        <is>
          <t>Travis Hunter</t>
        </is>
      </c>
      <c r="I209" s="4" t="inlineStr">
        <is>
          <t>JAC</t>
        </is>
      </c>
      <c r="J209" s="3" t="n">
        <v>7</v>
      </c>
      <c r="K209" s="4" t="inlineStr"/>
      <c r="L209" s="9" t="inlineStr">
        <is>
          <t>Gauntlet</t>
        </is>
      </c>
      <c r="M209" s="4" t="inlineStr"/>
      <c r="N209" s="3" t="n">
        <v>168</v>
      </c>
      <c r="O209" s="22" t="n">
        <v>-38</v>
      </c>
      <c r="P209" s="3" t="n">
        <v>-19.8</v>
      </c>
      <c r="Q209" s="4" t="inlineStr"/>
      <c r="R209" s="8" t="inlineStr">
        <is>
          <t>ECR-ranked; no dedicated situational research yet -- verify news/depth chart closer to draft time.</t>
        </is>
      </c>
    </row>
    <row r="210">
      <c r="A210" s="3" t="inlineStr"/>
      <c r="B210" s="3" t="n">
        <v>207</v>
      </c>
      <c r="C210" s="3" t="n">
        <v>10</v>
      </c>
      <c r="D210" s="3" t="inlineStr">
        <is>
          <t>Tier 10</t>
        </is>
      </c>
      <c r="E210" s="4" t="inlineStr">
        <is>
          <t>WR</t>
        </is>
      </c>
      <c r="F210" s="3" t="n">
        <v>72</v>
      </c>
      <c r="G210" s="3" t="n">
        <v>6</v>
      </c>
      <c r="H210" s="4" t="inlineStr">
        <is>
          <t>Calvin Ridley</t>
        </is>
      </c>
      <c r="I210" s="4" t="inlineStr">
        <is>
          <t>TEN</t>
        </is>
      </c>
      <c r="J210" s="3" t="n">
        <v>9</v>
      </c>
      <c r="K210" s="4" t="inlineStr"/>
      <c r="L210" s="11" t="inlineStr">
        <is>
          <t>Neutral</t>
        </is>
      </c>
      <c r="M210" s="4" t="inlineStr"/>
      <c r="N210" s="3" t="n">
        <v>174.7</v>
      </c>
      <c r="O210" s="22" t="n">
        <v>-32.3</v>
      </c>
      <c r="P210" s="3" t="n">
        <v>-19.8</v>
      </c>
      <c r="Q210" s="4" t="inlineStr"/>
      <c r="R210" s="8" t="inlineStr">
        <is>
          <t>ECR-ranked; no dedicated situational research yet -- verify news/depth chart closer to draft time.</t>
        </is>
      </c>
    </row>
    <row r="211">
      <c r="A211" s="3" t="inlineStr"/>
      <c r="B211" s="3" t="n">
        <v>208</v>
      </c>
      <c r="C211" s="3" t="n">
        <v>10</v>
      </c>
      <c r="D211" s="3" t="inlineStr">
        <is>
          <t>Tier 10</t>
        </is>
      </c>
      <c r="E211" s="4" t="inlineStr">
        <is>
          <t>RB</t>
        </is>
      </c>
      <c r="F211" s="3" t="n">
        <v>72</v>
      </c>
      <c r="G211" s="3" t="n">
        <v>6</v>
      </c>
      <c r="H211" s="4" t="inlineStr">
        <is>
          <t>Chris Brooks</t>
        </is>
      </c>
      <c r="I211" s="4" t="inlineStr">
        <is>
          <t>GB</t>
        </is>
      </c>
      <c r="J211" s="3" t="n">
        <v>11</v>
      </c>
      <c r="K211" s="4" t="inlineStr"/>
      <c r="L211" s="17" t="inlineStr">
        <is>
          <t>Soft</t>
        </is>
      </c>
      <c r="M211" s="4" t="inlineStr"/>
      <c r="N211" s="3" t="n"/>
      <c r="O211" s="3" t="n"/>
      <c r="P211" s="3" t="n">
        <v>-20</v>
      </c>
      <c r="Q211" s="4" t="inlineStr"/>
      <c r="R211" s="8" t="inlineStr">
        <is>
          <t>ECR-ranked; no dedicated situational research yet -- verify news/depth chart closer to draft time.</t>
        </is>
      </c>
    </row>
    <row r="212">
      <c r="A212" s="3" t="inlineStr"/>
      <c r="B212" s="3" t="n">
        <v>209</v>
      </c>
      <c r="C212" s="3" t="n">
        <v>10</v>
      </c>
      <c r="D212" s="3" t="inlineStr">
        <is>
          <t>Tier 10</t>
        </is>
      </c>
      <c r="E212" s="4" t="inlineStr">
        <is>
          <t>RB</t>
        </is>
      </c>
      <c r="F212" s="3" t="n">
        <v>75</v>
      </c>
      <c r="G212" s="3" t="n">
        <v>6</v>
      </c>
      <c r="H212" s="4" t="inlineStr">
        <is>
          <t>Samaje Perine</t>
        </is>
      </c>
      <c r="I212" s="4" t="inlineStr">
        <is>
          <t>CIN</t>
        </is>
      </c>
      <c r="J212" s="3" t="n">
        <v>6</v>
      </c>
      <c r="K212" s="12" t="inlineStr">
        <is>
          <t>YES</t>
        </is>
      </c>
      <c r="L212" s="9" t="inlineStr">
        <is>
          <t>Gauntlet</t>
        </is>
      </c>
      <c r="M212" s="4" t="inlineStr"/>
      <c r="N212" s="3" t="n">
        <v>178.9</v>
      </c>
      <c r="O212" s="22" t="n">
        <v>-30.1</v>
      </c>
      <c r="P212" s="3" t="n">
        <v>-20.1</v>
      </c>
      <c r="Q212" s="21" t="inlineStr">
        <is>
          <t>DEPTH</t>
        </is>
      </c>
      <c r="R212" s="8" t="inlineStr">
        <is>
          <t>Contract year; Bengals passing-down depth</t>
        </is>
      </c>
    </row>
    <row r="213">
      <c r="A213" s="3" t="inlineStr"/>
      <c r="B213" s="3" t="n">
        <v>210</v>
      </c>
      <c r="C213" s="3" t="n">
        <v>10</v>
      </c>
      <c r="D213" s="3" t="inlineStr">
        <is>
          <t>Tier 10</t>
        </is>
      </c>
      <c r="E213" s="4" t="inlineStr">
        <is>
          <t>RB</t>
        </is>
      </c>
      <c r="F213" s="3" t="n">
        <v>77</v>
      </c>
      <c r="G213" s="3" t="n">
        <v>6</v>
      </c>
      <c r="H213" s="4" t="inlineStr">
        <is>
          <t>Ollie Gordon II</t>
        </is>
      </c>
      <c r="I213" s="4" t="inlineStr">
        <is>
          <t>MIA</t>
        </is>
      </c>
      <c r="J213" s="3" t="n">
        <v>6</v>
      </c>
      <c r="K213" s="4" t="inlineStr"/>
      <c r="L213" s="13" t="inlineStr">
        <is>
          <t>Tough</t>
        </is>
      </c>
      <c r="M213" s="4" t="inlineStr"/>
      <c r="N213" s="3" t="n"/>
      <c r="O213" s="3" t="n"/>
      <c r="P213" s="3" t="n">
        <v>-20.2</v>
      </c>
      <c r="Q213" s="4" t="inlineStr"/>
      <c r="R213" s="8" t="inlineStr">
        <is>
          <t>ECR-ranked; no dedicated situational research yet -- verify news/depth chart closer to draft time.</t>
        </is>
      </c>
    </row>
    <row r="214">
      <c r="A214" s="3" t="inlineStr"/>
      <c r="B214" s="3" t="n">
        <v>211</v>
      </c>
      <c r="C214" s="3" t="n">
        <v>10</v>
      </c>
      <c r="D214" s="3" t="inlineStr">
        <is>
          <t>Tier 10</t>
        </is>
      </c>
      <c r="E214" s="4" t="inlineStr">
        <is>
          <t>RB</t>
        </is>
      </c>
      <c r="F214" s="3" t="n">
        <v>74</v>
      </c>
      <c r="G214" s="3" t="n">
        <v>6</v>
      </c>
      <c r="H214" s="4" t="inlineStr">
        <is>
          <t>Demond Claiborne</t>
        </is>
      </c>
      <c r="I214" s="4" t="inlineStr">
        <is>
          <t>MIN</t>
        </is>
      </c>
      <c r="J214" s="3" t="n">
        <v>6</v>
      </c>
      <c r="K214" s="4" t="inlineStr"/>
      <c r="L214" s="17" t="inlineStr">
        <is>
          <t>Soft</t>
        </is>
      </c>
      <c r="M214" s="4" t="inlineStr"/>
      <c r="N214" s="3" t="n">
        <v>175.8</v>
      </c>
      <c r="O214" s="22" t="n">
        <v>-35.2</v>
      </c>
      <c r="P214" s="3" t="n">
        <v>-20.3</v>
      </c>
      <c r="Q214" s="4" t="inlineStr"/>
      <c r="R214" s="8" t="inlineStr">
        <is>
          <t>ECR-ranked; no dedicated situational research yet -- verify news/depth chart closer to draft time.</t>
        </is>
      </c>
    </row>
    <row r="215">
      <c r="A215" s="3" t="inlineStr"/>
      <c r="B215" s="3" t="n">
        <v>212</v>
      </c>
      <c r="C215" s="3" t="n">
        <v>10</v>
      </c>
      <c r="D215" s="3" t="inlineStr">
        <is>
          <t>Tier 10</t>
        </is>
      </c>
      <c r="E215" s="4" t="inlineStr">
        <is>
          <t>RB</t>
        </is>
      </c>
      <c r="F215" s="3" t="n">
        <v>71</v>
      </c>
      <c r="G215" s="3" t="n">
        <v>6</v>
      </c>
      <c r="H215" s="4" t="inlineStr">
        <is>
          <t>Najee Harris</t>
        </is>
      </c>
      <c r="I215" s="4" t="inlineStr">
        <is>
          <t>NYG</t>
        </is>
      </c>
      <c r="J215" s="3" t="n">
        <v>8</v>
      </c>
      <c r="K215" s="12" t="inlineStr">
        <is>
          <t>YES</t>
        </is>
      </c>
      <c r="L215" s="17" t="inlineStr">
        <is>
          <t>Soft</t>
        </is>
      </c>
      <c r="M215" s="4" t="inlineStr"/>
      <c r="N215" s="3" t="n">
        <v>174.5</v>
      </c>
      <c r="O215" s="22" t="n">
        <v>-37.5</v>
      </c>
      <c r="P215" s="3" t="n">
        <v>-20.4</v>
      </c>
      <c r="Q215" s="21" t="inlineStr">
        <is>
          <t>DEPTH</t>
        </is>
      </c>
      <c r="R215" s="8" t="inlineStr">
        <is>
          <t>Contract year; Giants early-down back</t>
        </is>
      </c>
    </row>
    <row r="216">
      <c r="A216" s="3" t="inlineStr"/>
      <c r="B216" s="3" t="n">
        <v>213</v>
      </c>
      <c r="C216" s="3" t="n">
        <v>10</v>
      </c>
      <c r="D216" s="3" t="inlineStr">
        <is>
          <t>Tier 10</t>
        </is>
      </c>
      <c r="E216" s="4" t="inlineStr">
        <is>
          <t>WR</t>
        </is>
      </c>
      <c r="F216" s="3" t="n">
        <v>79</v>
      </c>
      <c r="G216" s="3" t="n">
        <v>6</v>
      </c>
      <c r="H216" s="4" t="inlineStr">
        <is>
          <t>Isaac TeSlaa</t>
        </is>
      </c>
      <c r="I216" s="4" t="inlineStr">
        <is>
          <t>DET</t>
        </is>
      </c>
      <c r="J216" s="3" t="n">
        <v>6</v>
      </c>
      <c r="K216" s="4" t="inlineStr"/>
      <c r="L216" s="9" t="inlineStr">
        <is>
          <t>Gauntlet</t>
        </is>
      </c>
      <c r="M216" s="4" t="inlineStr"/>
      <c r="N216" s="3" t="n">
        <v>173.6</v>
      </c>
      <c r="O216" s="22" t="n">
        <v>-39.4</v>
      </c>
      <c r="P216" s="3" t="n">
        <v>-20.6</v>
      </c>
      <c r="Q216" s="4" t="inlineStr"/>
      <c r="R216" s="8" t="inlineStr">
        <is>
          <t>ECR-ranked; no dedicated situational research yet -- verify news/depth chart closer to draft time.</t>
        </is>
      </c>
    </row>
    <row r="217">
      <c r="A217" s="3" t="inlineStr"/>
      <c r="B217" s="3" t="n">
        <v>214</v>
      </c>
      <c r="C217" s="3" t="n">
        <v>10</v>
      </c>
      <c r="D217" s="3" t="inlineStr">
        <is>
          <t>Tier 10</t>
        </is>
      </c>
      <c r="E217" s="4" t="inlineStr">
        <is>
          <t>RB</t>
        </is>
      </c>
      <c r="F217" s="3" t="n">
        <v>76</v>
      </c>
      <c r="G217" s="3" t="n">
        <v>6</v>
      </c>
      <c r="H217" s="4" t="inlineStr">
        <is>
          <t>Isaiah Davis</t>
        </is>
      </c>
      <c r="I217" s="4" t="inlineStr">
        <is>
          <t>NYJ</t>
        </is>
      </c>
      <c r="J217" s="3" t="n">
        <v>13</v>
      </c>
      <c r="K217" s="4" t="inlineStr"/>
      <c r="L217" s="17" t="inlineStr">
        <is>
          <t>Soft</t>
        </is>
      </c>
      <c r="M217" s="4" t="inlineStr"/>
      <c r="N217" s="3" t="n"/>
      <c r="O217" s="3" t="n"/>
      <c r="P217" s="3" t="n">
        <v>-20.6</v>
      </c>
      <c r="Q217" s="4" t="inlineStr"/>
      <c r="R217" s="8" t="inlineStr">
        <is>
          <t>ECR-ranked; no dedicated situational research yet -- verify news/depth chart closer to draft time.</t>
        </is>
      </c>
    </row>
    <row r="218">
      <c r="A218" s="3" t="inlineStr"/>
      <c r="B218" s="3" t="n">
        <v>215</v>
      </c>
      <c r="C218" s="3" t="n">
        <v>10</v>
      </c>
      <c r="D218" s="3" t="inlineStr">
        <is>
          <t>Tier 10</t>
        </is>
      </c>
      <c r="E218" s="4" t="inlineStr">
        <is>
          <t>RB</t>
        </is>
      </c>
      <c r="F218" s="3" t="n">
        <v>80</v>
      </c>
      <c r="G218" s="3" t="n">
        <v>6</v>
      </c>
      <c r="H218" s="4" t="inlineStr">
        <is>
          <t>LeQuint Allen</t>
        </is>
      </c>
      <c r="I218" s="4" t="inlineStr">
        <is>
          <t>JAC</t>
        </is>
      </c>
      <c r="J218" s="3" t="n">
        <v>7</v>
      </c>
      <c r="K218" s="4" t="inlineStr"/>
      <c r="L218" s="13" t="inlineStr">
        <is>
          <t>Tough</t>
        </is>
      </c>
      <c r="M218" s="4" t="inlineStr"/>
      <c r="N218" s="3" t="n"/>
      <c r="O218" s="3" t="n"/>
      <c r="P218" s="3" t="n">
        <v>-20.7</v>
      </c>
      <c r="Q218" s="4" t="inlineStr"/>
      <c r="R218" s="8" t="inlineStr">
        <is>
          <t>ECR-ranked; no dedicated situational research yet -- verify news/depth chart closer to draft time.</t>
        </is>
      </c>
    </row>
    <row r="219">
      <c r="A219" s="3" t="inlineStr"/>
      <c r="B219" s="3" t="n">
        <v>216</v>
      </c>
      <c r="C219" s="3" t="n">
        <v>10</v>
      </c>
      <c r="D219" s="3" t="inlineStr">
        <is>
          <t>Tier 10</t>
        </is>
      </c>
      <c r="E219" s="4" t="inlineStr">
        <is>
          <t>RB</t>
        </is>
      </c>
      <c r="F219" s="3" t="n">
        <v>81</v>
      </c>
      <c r="G219" s="3" t="n">
        <v>6</v>
      </c>
      <c r="H219" s="4" t="inlineStr">
        <is>
          <t>DJ Giddens</t>
        </is>
      </c>
      <c r="I219" s="4" t="inlineStr">
        <is>
          <t>IND</t>
        </is>
      </c>
      <c r="J219" s="3" t="n">
        <v>13</v>
      </c>
      <c r="K219" s="4" t="inlineStr"/>
      <c r="L219" s="13" t="inlineStr">
        <is>
          <t>Tough</t>
        </is>
      </c>
      <c r="M219" s="4" t="inlineStr"/>
      <c r="N219" s="3" t="n"/>
      <c r="O219" s="3" t="n"/>
      <c r="P219" s="3" t="n">
        <v>-20.7</v>
      </c>
      <c r="Q219" s="4" t="inlineStr"/>
      <c r="R219" s="8" t="inlineStr">
        <is>
          <t>ECR-ranked; no dedicated situational research yet -- verify news/depth chart closer to draft time.</t>
        </is>
      </c>
    </row>
    <row r="220">
      <c r="A220" s="3" t="inlineStr"/>
      <c r="B220" s="3" t="n">
        <v>217</v>
      </c>
      <c r="C220" s="3" t="n">
        <v>10</v>
      </c>
      <c r="D220" s="3" t="inlineStr">
        <is>
          <t>Tier 10</t>
        </is>
      </c>
      <c r="E220" s="4" t="inlineStr">
        <is>
          <t>TE</t>
        </is>
      </c>
      <c r="F220" s="3" t="n">
        <v>34</v>
      </c>
      <c r="G220" s="3" t="n">
        <v>6</v>
      </c>
      <c r="H220" s="4" t="inlineStr">
        <is>
          <t>Theo Johnson</t>
        </is>
      </c>
      <c r="I220" s="4" t="inlineStr">
        <is>
          <t>NYG</t>
        </is>
      </c>
      <c r="J220" s="3" t="n">
        <v>8</v>
      </c>
      <c r="K220" s="4" t="inlineStr"/>
      <c r="L220" s="5" t="inlineStr">
        <is>
          <t>Very Soft</t>
        </is>
      </c>
      <c r="M220" s="4" t="inlineStr"/>
      <c r="N220" s="3" t="n"/>
      <c r="O220" s="3" t="n"/>
      <c r="P220" s="3" t="n">
        <v>-20.9</v>
      </c>
      <c r="Q220" s="4" t="inlineStr"/>
      <c r="R220" s="8" t="inlineStr">
        <is>
          <t>ECR-ranked; no dedicated situational research yet -- verify news/depth chart closer to draft time.</t>
        </is>
      </c>
    </row>
    <row r="221">
      <c r="A221" s="3" t="inlineStr"/>
      <c r="B221" s="3" t="n">
        <v>218</v>
      </c>
      <c r="C221" s="3" t="n">
        <v>10</v>
      </c>
      <c r="D221" s="3" t="inlineStr">
        <is>
          <t>Tier 10</t>
        </is>
      </c>
      <c r="E221" s="4" t="inlineStr">
        <is>
          <t>RB</t>
        </is>
      </c>
      <c r="F221" s="3" t="n">
        <v>79</v>
      </c>
      <c r="G221" s="3" t="n">
        <v>6</v>
      </c>
      <c r="H221" s="4" t="inlineStr">
        <is>
          <t>Ty Johnson</t>
        </is>
      </c>
      <c r="I221" s="4" t="inlineStr">
        <is>
          <t>BUF</t>
        </is>
      </c>
      <c r="J221" s="3" t="n">
        <v>7</v>
      </c>
      <c r="K221" s="12" t="inlineStr">
        <is>
          <t>YES</t>
        </is>
      </c>
      <c r="L221" s="9" t="inlineStr">
        <is>
          <t>Gauntlet</t>
        </is>
      </c>
      <c r="M221" s="4" t="inlineStr"/>
      <c r="N221" s="3" t="n"/>
      <c r="O221" s="3" t="n"/>
      <c r="P221" s="3" t="n">
        <v>-21</v>
      </c>
      <c r="Q221" s="21" t="inlineStr">
        <is>
          <t>DEPTH</t>
        </is>
      </c>
      <c r="R221" s="8" t="inlineStr">
        <is>
          <t>Contract year; Bills RB depth</t>
        </is>
      </c>
    </row>
    <row r="222">
      <c r="A222" s="3" t="inlineStr"/>
      <c r="B222" s="3" t="n">
        <v>219</v>
      </c>
      <c r="C222" s="3" t="n">
        <v>10</v>
      </c>
      <c r="D222" s="3" t="inlineStr">
        <is>
          <t>Tier 10</t>
        </is>
      </c>
      <c r="E222" s="4" t="inlineStr">
        <is>
          <t>WR</t>
        </is>
      </c>
      <c r="F222" s="3" t="n">
        <v>74</v>
      </c>
      <c r="G222" s="3" t="n">
        <v>6</v>
      </c>
      <c r="H222" s="4" t="inlineStr">
        <is>
          <t>Jaylin Noel</t>
        </is>
      </c>
      <c r="I222" s="4" t="inlineStr">
        <is>
          <t>HOU</t>
        </is>
      </c>
      <c r="J222" s="3" t="n">
        <v>8</v>
      </c>
      <c r="K222" s="4" t="inlineStr"/>
      <c r="L222" s="5" t="inlineStr">
        <is>
          <t>Very Soft</t>
        </is>
      </c>
      <c r="M222" s="4" t="inlineStr"/>
      <c r="N222" s="3" t="n">
        <v>178.6</v>
      </c>
      <c r="O222" s="22" t="n">
        <v>-40.4</v>
      </c>
      <c r="P222" s="3" t="n">
        <v>-21</v>
      </c>
      <c r="Q222" s="4" t="inlineStr"/>
      <c r="R222" s="8" t="inlineStr">
        <is>
          <t>ECR-ranked; no dedicated situational research yet -- verify news/depth chart closer to draft time.</t>
        </is>
      </c>
    </row>
    <row r="223">
      <c r="A223" s="3" t="inlineStr"/>
      <c r="B223" s="3" t="n">
        <v>220</v>
      </c>
      <c r="C223" s="3" t="n">
        <v>10</v>
      </c>
      <c r="D223" s="3" t="inlineStr">
        <is>
          <t>Tier 10</t>
        </is>
      </c>
      <c r="E223" s="4" t="inlineStr">
        <is>
          <t>TE</t>
        </is>
      </c>
      <c r="F223" s="3" t="n">
        <v>37</v>
      </c>
      <c r="G223" s="3" t="n">
        <v>6</v>
      </c>
      <c r="H223" s="4" t="inlineStr">
        <is>
          <t>Darren Waller</t>
        </is>
      </c>
      <c r="I223" s="4" t="inlineStr">
        <is>
          <t>CAR</t>
        </is>
      </c>
      <c r="J223" s="3" t="n">
        <v>5</v>
      </c>
      <c r="K223" s="4" t="inlineStr"/>
      <c r="L223" s="13" t="inlineStr">
        <is>
          <t>Tough</t>
        </is>
      </c>
      <c r="M223" s="4" t="inlineStr"/>
      <c r="N223" s="3" t="n">
        <v>176.9</v>
      </c>
      <c r="O223" s="22" t="n">
        <v>-43.1</v>
      </c>
      <c r="P223" s="3" t="n">
        <v>-21.1</v>
      </c>
      <c r="Q223" s="4" t="inlineStr"/>
      <c r="R223" s="8" t="inlineStr">
        <is>
          <t>ECR-ranked; no dedicated situational research yet -- verify news/depth chart closer to draft time.</t>
        </is>
      </c>
    </row>
    <row r="224">
      <c r="A224" s="3" t="inlineStr"/>
      <c r="B224" s="3" t="n">
        <v>221</v>
      </c>
      <c r="C224" s="3" t="n">
        <v>10</v>
      </c>
      <c r="D224" s="3" t="inlineStr">
        <is>
          <t>Tier 10</t>
        </is>
      </c>
      <c r="E224" s="4" t="inlineStr">
        <is>
          <t>RB</t>
        </is>
      </c>
      <c r="F224" s="3" t="n">
        <v>78</v>
      </c>
      <c r="G224" s="3" t="n">
        <v>6</v>
      </c>
      <c r="H224" s="4" t="inlineStr">
        <is>
          <t>Malik Davis</t>
        </is>
      </c>
      <c r="I224" s="4" t="inlineStr">
        <is>
          <t>DAL</t>
        </is>
      </c>
      <c r="J224" s="3" t="n">
        <v>14</v>
      </c>
      <c r="K224" s="4" t="inlineStr"/>
      <c r="L224" s="17" t="inlineStr">
        <is>
          <t>Soft</t>
        </is>
      </c>
      <c r="M224" s="4" t="inlineStr"/>
      <c r="N224" s="3" t="n"/>
      <c r="O224" s="3" t="n"/>
      <c r="P224" s="3" t="n">
        <v>-21.1</v>
      </c>
      <c r="Q224" s="4" t="inlineStr"/>
      <c r="R224" s="8" t="inlineStr">
        <is>
          <t>ECR-ranked; no dedicated situational research yet -- verify news/depth chart closer to draft time.</t>
        </is>
      </c>
    </row>
    <row r="225">
      <c r="A225" s="3" t="inlineStr"/>
      <c r="B225" s="3" t="n">
        <v>222</v>
      </c>
      <c r="C225" s="3" t="n">
        <v>10</v>
      </c>
      <c r="D225" s="3" t="inlineStr">
        <is>
          <t>Tier 10</t>
        </is>
      </c>
      <c r="E225" s="4" t="inlineStr">
        <is>
          <t>RB</t>
        </is>
      </c>
      <c r="F225" s="3" t="n">
        <v>83</v>
      </c>
      <c r="G225" s="3" t="n">
        <v>6</v>
      </c>
      <c r="H225" s="4" t="inlineStr">
        <is>
          <t>Seth McGowan</t>
        </is>
      </c>
      <c r="I225" s="4" t="inlineStr">
        <is>
          <t>IND</t>
        </is>
      </c>
      <c r="J225" s="3" t="n">
        <v>13</v>
      </c>
      <c r="K225" s="4" t="inlineStr"/>
      <c r="L225" s="13" t="inlineStr">
        <is>
          <t>Tough</t>
        </is>
      </c>
      <c r="M225" s="4" t="inlineStr"/>
      <c r="N225" s="3" t="n"/>
      <c r="O225" s="3" t="n"/>
      <c r="P225" s="3" t="n">
        <v>-21.1</v>
      </c>
      <c r="Q225" s="4" t="inlineStr"/>
      <c r="R225" s="8" t="inlineStr">
        <is>
          <t>ECR-ranked; no dedicated situational research yet -- verify news/depth chart closer to draft time.</t>
        </is>
      </c>
    </row>
    <row r="226">
      <c r="A226" s="3" t="inlineStr"/>
      <c r="B226" s="3" t="n">
        <v>223</v>
      </c>
      <c r="C226" s="3" t="n">
        <v>10</v>
      </c>
      <c r="D226" s="3" t="inlineStr">
        <is>
          <t>Tier 10</t>
        </is>
      </c>
      <c r="E226" s="4" t="inlineStr">
        <is>
          <t>WR</t>
        </is>
      </c>
      <c r="F226" s="3" t="n">
        <v>73</v>
      </c>
      <c r="G226" s="3" t="n">
        <v>6</v>
      </c>
      <c r="H226" s="4" t="inlineStr">
        <is>
          <t>Keenan Allen</t>
        </is>
      </c>
      <c r="I226" s="4" t="inlineStr">
        <is>
          <t>IND</t>
        </is>
      </c>
      <c r="J226" s="3" t="n">
        <v>13</v>
      </c>
      <c r="K226" s="12" t="inlineStr">
        <is>
          <t>YES</t>
        </is>
      </c>
      <c r="L226" s="17" t="inlineStr">
        <is>
          <t>Soft</t>
        </is>
      </c>
      <c r="M226" s="4" t="inlineStr"/>
      <c r="N226" s="3" t="n">
        <v>163.6</v>
      </c>
      <c r="O226" s="22" t="n">
        <v>-59.4</v>
      </c>
      <c r="P226" s="3" t="n">
        <v>-21.2</v>
      </c>
      <c r="Q226" s="18" t="inlineStr">
        <is>
          <t>FLOOR</t>
        </is>
      </c>
      <c r="R226" s="8" t="inlineStr">
        <is>
          <t>Contract year; still commands 120+ targets in a crowded room</t>
        </is>
      </c>
    </row>
    <row r="227">
      <c r="A227" s="3" t="inlineStr"/>
      <c r="B227" s="3" t="n">
        <v>224</v>
      </c>
      <c r="C227" s="3" t="n">
        <v>10</v>
      </c>
      <c r="D227" s="3" t="inlineStr">
        <is>
          <t>Tier 10</t>
        </is>
      </c>
      <c r="E227" s="4" t="inlineStr">
        <is>
          <t>TE</t>
        </is>
      </c>
      <c r="F227" s="3" t="n">
        <v>35</v>
      </c>
      <c r="G227" s="3" t="n">
        <v>6</v>
      </c>
      <c r="H227" s="4" t="inlineStr">
        <is>
          <t>Eli Stowers</t>
        </is>
      </c>
      <c r="I227" s="4" t="inlineStr">
        <is>
          <t>PHI</t>
        </is>
      </c>
      <c r="J227" s="3" t="n">
        <v>10</v>
      </c>
      <c r="K227" s="4" t="inlineStr"/>
      <c r="L227" s="5" t="inlineStr">
        <is>
          <t>Very Soft</t>
        </is>
      </c>
      <c r="M227" s="4" t="inlineStr"/>
      <c r="N227" s="3" t="n">
        <v>174.4</v>
      </c>
      <c r="O227" s="22" t="n">
        <v>-49.6</v>
      </c>
      <c r="P227" s="3" t="n">
        <v>-21.3</v>
      </c>
      <c r="Q227" s="4" t="inlineStr"/>
      <c r="R227" s="8" t="inlineStr">
        <is>
          <t>ECR-ranked; no dedicated situational research yet -- verify news/depth chart closer to draft time.</t>
        </is>
      </c>
    </row>
    <row r="228">
      <c r="A228" s="3" t="inlineStr"/>
      <c r="B228" s="3" t="n">
        <v>225</v>
      </c>
      <c r="C228" s="3" t="n">
        <v>10</v>
      </c>
      <c r="D228" s="3" t="inlineStr">
        <is>
          <t>Tier 10</t>
        </is>
      </c>
      <c r="E228" s="4" t="inlineStr">
        <is>
          <t>WR</t>
        </is>
      </c>
      <c r="F228" s="3" t="n">
        <v>78</v>
      </c>
      <c r="G228" s="3" t="n">
        <v>6</v>
      </c>
      <c r="H228" s="4" t="inlineStr">
        <is>
          <t>Cooper Kupp</t>
        </is>
      </c>
      <c r="I228" s="4" t="inlineStr">
        <is>
          <t>SEA</t>
        </is>
      </c>
      <c r="J228" s="3" t="n">
        <v>11</v>
      </c>
      <c r="K228" s="4" t="inlineStr"/>
      <c r="L228" s="11" t="inlineStr">
        <is>
          <t>Neutral</t>
        </is>
      </c>
      <c r="M228" s="4" t="inlineStr"/>
      <c r="N228" s="3" t="n">
        <v>173.3</v>
      </c>
      <c r="O228" s="22" t="n">
        <v>-51.7</v>
      </c>
      <c r="P228" s="3" t="n">
        <v>-21.3</v>
      </c>
      <c r="Q228" s="4" t="inlineStr"/>
      <c r="R228" s="8" t="inlineStr">
        <is>
          <t>ECR-ranked; no dedicated situational research yet -- verify news/depth chart closer to draft time.</t>
        </is>
      </c>
    </row>
    <row r="229">
      <c r="A229" s="3" t="inlineStr"/>
      <c r="B229" s="3" t="n">
        <v>226</v>
      </c>
      <c r="C229" s="3" t="n">
        <v>10</v>
      </c>
      <c r="D229" s="3" t="inlineStr">
        <is>
          <t>Tier 10</t>
        </is>
      </c>
      <c r="E229" s="4" t="inlineStr">
        <is>
          <t>RB</t>
        </is>
      </c>
      <c r="F229" s="3" t="n">
        <v>85</v>
      </c>
      <c r="G229" s="3" t="n">
        <v>6</v>
      </c>
      <c r="H229" s="4" t="inlineStr">
        <is>
          <t>Emari Demercado</t>
        </is>
      </c>
      <c r="I229" s="4" t="inlineStr">
        <is>
          <t>KC</t>
        </is>
      </c>
      <c r="J229" s="3" t="n">
        <v>5</v>
      </c>
      <c r="K229" s="4" t="inlineStr"/>
      <c r="L229" s="9" t="inlineStr">
        <is>
          <t>Gauntlet</t>
        </is>
      </c>
      <c r="M229" s="4" t="inlineStr"/>
      <c r="N229" s="3" t="n"/>
      <c r="O229" s="3" t="n"/>
      <c r="P229" s="3" t="n">
        <v>-21.4</v>
      </c>
      <c r="Q229" s="4" t="inlineStr"/>
      <c r="R229" s="8" t="inlineStr">
        <is>
          <t>ECR-ranked; no dedicated situational research yet -- verify news/depth chart closer to draft time.</t>
        </is>
      </c>
    </row>
    <row r="230">
      <c r="A230" s="3" t="inlineStr"/>
      <c r="B230" s="3" t="n">
        <v>227</v>
      </c>
      <c r="C230" s="3" t="n">
        <v>10</v>
      </c>
      <c r="D230" s="3" t="inlineStr">
        <is>
          <t>Tier 10</t>
        </is>
      </c>
      <c r="E230" s="4" t="inlineStr">
        <is>
          <t>WR</t>
        </is>
      </c>
      <c r="F230" s="3" t="n">
        <v>112</v>
      </c>
      <c r="G230" s="3" t="n">
        <v>6</v>
      </c>
      <c r="H230" s="4" t="inlineStr">
        <is>
          <t>Tyreek Hill</t>
        </is>
      </c>
      <c r="I230" s="4" t="inlineStr">
        <is>
          <t>FA</t>
        </is>
      </c>
      <c r="J230" s="3" t="inlineStr">
        <is>
          <t>FA</t>
        </is>
      </c>
      <c r="K230" s="4" t="inlineStr"/>
      <c r="L230" s="11" t="inlineStr">
        <is>
          <t>N/A (FA)</t>
        </is>
      </c>
      <c r="M230" s="4" t="inlineStr"/>
      <c r="N230" s="3" t="n">
        <v>174.5</v>
      </c>
      <c r="O230" s="22" t="n">
        <v>-52.5</v>
      </c>
      <c r="P230" s="3" t="n">
        <v>-21.5</v>
      </c>
      <c r="Q230" s="16" t="inlineStr">
        <is>
          <t>BUST</t>
        </is>
      </c>
      <c r="R230" s="8" t="inlineStr">
        <is>
          <t>Severe 2025 knee injury (dislocation + multi-ligament); unsigned FA; real chance he's done -- avoid entirely</t>
        </is>
      </c>
    </row>
    <row r="231">
      <c r="A231" s="3" t="inlineStr"/>
      <c r="B231" s="3" t="n">
        <v>228</v>
      </c>
      <c r="C231" s="3" t="n">
        <v>10</v>
      </c>
      <c r="D231" s="3" t="inlineStr">
        <is>
          <t>Tier 10</t>
        </is>
      </c>
      <c r="E231" s="4" t="inlineStr">
        <is>
          <t>WR</t>
        </is>
      </c>
      <c r="F231" s="3" t="n">
        <v>81</v>
      </c>
      <c r="G231" s="3" t="n">
        <v>6</v>
      </c>
      <c r="H231" s="4" t="inlineStr">
        <is>
          <t>Germie Bernard</t>
        </is>
      </c>
      <c r="I231" s="4" t="inlineStr">
        <is>
          <t>PIT</t>
        </is>
      </c>
      <c r="J231" s="3" t="n">
        <v>9</v>
      </c>
      <c r="K231" s="4" t="inlineStr"/>
      <c r="L231" s="13" t="inlineStr">
        <is>
          <t>Tough</t>
        </is>
      </c>
      <c r="M231" s="4" t="inlineStr"/>
      <c r="N231" s="3" t="n"/>
      <c r="O231" s="3" t="n"/>
      <c r="P231" s="3" t="n">
        <v>-21.6</v>
      </c>
      <c r="Q231" s="4" t="inlineStr"/>
      <c r="R231" s="8" t="inlineStr">
        <is>
          <t>ECR-ranked; no dedicated situational research yet -- verify news/depth chart closer to draft time.</t>
        </is>
      </c>
    </row>
    <row r="232">
      <c r="A232" s="3" t="inlineStr"/>
      <c r="B232" s="3" t="n">
        <v>229</v>
      </c>
      <c r="C232" s="3" t="n">
        <v>10</v>
      </c>
      <c r="D232" s="3" t="inlineStr">
        <is>
          <t>Tier 10</t>
        </is>
      </c>
      <c r="E232" s="4" t="inlineStr">
        <is>
          <t>TE</t>
        </is>
      </c>
      <c r="F232" s="3" t="n">
        <v>36</v>
      </c>
      <c r="G232" s="3" t="n">
        <v>6</v>
      </c>
      <c r="H232" s="4" t="inlineStr">
        <is>
          <t>Mike Gesicki</t>
        </is>
      </c>
      <c r="I232" s="4" t="inlineStr">
        <is>
          <t>CIN</t>
        </is>
      </c>
      <c r="J232" s="3" t="n">
        <v>6</v>
      </c>
      <c r="K232" s="4" t="inlineStr"/>
      <c r="L232" s="5" t="inlineStr">
        <is>
          <t>Very Soft</t>
        </is>
      </c>
      <c r="M232" s="4" t="inlineStr"/>
      <c r="N232" s="3" t="n"/>
      <c r="O232" s="3" t="n"/>
      <c r="P232" s="3" t="n">
        <v>-21.6</v>
      </c>
      <c r="Q232" s="4" t="inlineStr"/>
      <c r="R232" s="8" t="inlineStr">
        <is>
          <t>ECR-ranked; no dedicated situational research yet -- verify news/depth chart closer to draft time.</t>
        </is>
      </c>
    </row>
    <row r="233">
      <c r="A233" s="3" t="inlineStr"/>
      <c r="B233" s="3" t="n">
        <v>230</v>
      </c>
      <c r="C233" s="3" t="n">
        <v>10</v>
      </c>
      <c r="D233" s="3" t="inlineStr">
        <is>
          <t>Tier 10</t>
        </is>
      </c>
      <c r="E233" s="4" t="inlineStr">
        <is>
          <t>WR</t>
        </is>
      </c>
      <c r="F233" s="3" t="n">
        <v>88</v>
      </c>
      <c r="G233" s="3" t="n">
        <v>6</v>
      </c>
      <c r="H233" s="4" t="inlineStr">
        <is>
          <t>Chris Bell</t>
        </is>
      </c>
      <c r="I233" s="4" t="inlineStr">
        <is>
          <t>MIA</t>
        </is>
      </c>
      <c r="J233" s="3" t="n">
        <v>6</v>
      </c>
      <c r="K233" s="4" t="inlineStr"/>
      <c r="L233" s="13" t="inlineStr">
        <is>
          <t>Tough</t>
        </is>
      </c>
      <c r="M233" s="4" t="inlineStr"/>
      <c r="N233" s="3" t="n">
        <v>175.5</v>
      </c>
      <c r="O233" s="22" t="n">
        <v>-54.5</v>
      </c>
      <c r="P233" s="3" t="n">
        <v>-21.7</v>
      </c>
      <c r="Q233" s="20" t="inlineStr">
        <is>
          <t>SLEEPER</t>
        </is>
      </c>
      <c r="R233" s="8" t="inlineStr">
        <is>
          <t>Post-ACL; could be Miami's top size/speed WR if healthy</t>
        </is>
      </c>
    </row>
    <row r="234">
      <c r="A234" s="3" t="inlineStr"/>
      <c r="B234" s="3" t="n">
        <v>231</v>
      </c>
      <c r="C234" s="3" t="n">
        <v>10</v>
      </c>
      <c r="D234" s="3" t="inlineStr">
        <is>
          <t>Tier 10</t>
        </is>
      </c>
      <c r="E234" s="4" t="inlineStr">
        <is>
          <t>RB</t>
        </is>
      </c>
      <c r="F234" s="3" t="n">
        <v>84</v>
      </c>
      <c r="G234" s="3" t="n">
        <v>6</v>
      </c>
      <c r="H234" s="4" t="inlineStr">
        <is>
          <t>Adam Randall</t>
        </is>
      </c>
      <c r="I234" s="4" t="inlineStr">
        <is>
          <t>BAL</t>
        </is>
      </c>
      <c r="J234" s="3" t="n">
        <v>13</v>
      </c>
      <c r="K234" s="4" t="inlineStr"/>
      <c r="L234" s="13" t="inlineStr">
        <is>
          <t>Tough</t>
        </is>
      </c>
      <c r="M234" s="4" t="inlineStr"/>
      <c r="N234" s="3" t="n"/>
      <c r="O234" s="3" t="n"/>
      <c r="P234" s="3" t="n">
        <v>-21.7</v>
      </c>
      <c r="Q234" s="4" t="inlineStr"/>
      <c r="R234" s="8" t="inlineStr">
        <is>
          <t>ECR-ranked; no dedicated situational research yet -- verify news/depth chart closer to draft time.</t>
        </is>
      </c>
    </row>
    <row r="235">
      <c r="A235" s="3" t="inlineStr"/>
      <c r="B235" s="3" t="n">
        <v>232</v>
      </c>
      <c r="C235" s="3" t="n">
        <v>10</v>
      </c>
      <c r="D235" s="3" t="inlineStr">
        <is>
          <t>Tier 10</t>
        </is>
      </c>
      <c r="E235" s="4" t="inlineStr">
        <is>
          <t>WR</t>
        </is>
      </c>
      <c r="F235" s="3" t="n">
        <v>76</v>
      </c>
      <c r="G235" s="3" t="n">
        <v>6</v>
      </c>
      <c r="H235" s="4" t="inlineStr">
        <is>
          <t>Rashod Bateman</t>
        </is>
      </c>
      <c r="I235" s="4" t="inlineStr">
        <is>
          <t>BAL</t>
        </is>
      </c>
      <c r="J235" s="3" t="n">
        <v>13</v>
      </c>
      <c r="K235" s="4" t="inlineStr"/>
      <c r="L235" s="5" t="inlineStr">
        <is>
          <t>Very Soft</t>
        </is>
      </c>
      <c r="M235" s="4" t="inlineStr"/>
      <c r="N235" s="3" t="n">
        <v>175.3</v>
      </c>
      <c r="O235" s="22" t="n">
        <v>-56.7</v>
      </c>
      <c r="P235" s="3" t="n">
        <v>-21.7</v>
      </c>
      <c r="Q235" s="4" t="inlineStr"/>
      <c r="R235" s="8" t="inlineStr">
        <is>
          <t>ECR-ranked; no dedicated situational research yet -- verify news/depth chart closer to draft time.</t>
        </is>
      </c>
    </row>
    <row r="236">
      <c r="A236" s="3" t="inlineStr"/>
      <c r="B236" s="3" t="n">
        <v>233</v>
      </c>
      <c r="C236" s="3" t="n">
        <v>10</v>
      </c>
      <c r="D236" s="3" t="inlineStr">
        <is>
          <t>Tier 10</t>
        </is>
      </c>
      <c r="E236" s="4" t="inlineStr">
        <is>
          <t>RB</t>
        </is>
      </c>
      <c r="F236" s="3" t="n">
        <v>87</v>
      </c>
      <c r="G236" s="3" t="n">
        <v>6</v>
      </c>
      <c r="H236" s="4" t="inlineStr">
        <is>
          <t>Brashard Smith</t>
        </is>
      </c>
      <c r="I236" s="4" t="inlineStr">
        <is>
          <t>KC</t>
        </is>
      </c>
      <c r="J236" s="3" t="n">
        <v>5</v>
      </c>
      <c r="K236" s="4" t="inlineStr"/>
      <c r="L236" s="9" t="inlineStr">
        <is>
          <t>Gauntlet</t>
        </is>
      </c>
      <c r="M236" s="4" t="inlineStr"/>
      <c r="N236" s="3" t="n"/>
      <c r="O236" s="3" t="n"/>
      <c r="P236" s="3" t="n">
        <v>-21.8</v>
      </c>
      <c r="Q236" s="4" t="inlineStr"/>
      <c r="R236" s="8" t="inlineStr">
        <is>
          <t>ECR-ranked; no dedicated situational research yet -- verify news/depth chart closer to draft time.</t>
        </is>
      </c>
    </row>
    <row r="237">
      <c r="A237" s="3" t="inlineStr"/>
      <c r="B237" s="3" t="n">
        <v>234</v>
      </c>
      <c r="C237" s="3" t="n">
        <v>10</v>
      </c>
      <c r="D237" s="3" t="inlineStr">
        <is>
          <t>Tier 10</t>
        </is>
      </c>
      <c r="E237" s="4" t="inlineStr">
        <is>
          <t>QB</t>
        </is>
      </c>
      <c r="F237" s="3" t="n">
        <v>31</v>
      </c>
      <c r="G237" s="3" t="n">
        <v>6</v>
      </c>
      <c r="H237" s="4" t="inlineStr">
        <is>
          <t>Tua Tagovailoa</t>
        </is>
      </c>
      <c r="I237" s="4" t="inlineStr">
        <is>
          <t>ATL</t>
        </is>
      </c>
      <c r="J237" s="3" t="n">
        <v>11</v>
      </c>
      <c r="K237" s="12" t="inlineStr">
        <is>
          <t>YES</t>
        </is>
      </c>
      <c r="L237" s="11" t="inlineStr">
        <is>
          <t>Neutral</t>
        </is>
      </c>
      <c r="M237" s="6" t="inlineStr">
        <is>
          <t>Superflex Depth</t>
        </is>
      </c>
      <c r="N237" s="3" t="n">
        <v>164.1</v>
      </c>
      <c r="O237" s="22" t="n">
        <v>-69.90000000000001</v>
      </c>
      <c r="P237" s="3" t="n">
        <v>-21.8</v>
      </c>
      <c r="Q237" s="21" t="inlineStr">
        <is>
          <t>DEPTH</t>
        </is>
      </c>
      <c r="R237" s="8" t="inlineStr">
        <is>
          <t>Contract year; now Atlanta's QB1 by depth chart, unproven fit</t>
        </is>
      </c>
    </row>
    <row r="238">
      <c r="A238" s="3" t="inlineStr"/>
      <c r="B238" s="3" t="n">
        <v>235</v>
      </c>
      <c r="C238" s="3" t="n">
        <v>10</v>
      </c>
      <c r="D238" s="3" t="inlineStr">
        <is>
          <t>Tier 10</t>
        </is>
      </c>
      <c r="E238" s="4" t="inlineStr">
        <is>
          <t>TE</t>
        </is>
      </c>
      <c r="F238" s="3" t="n">
        <v>38</v>
      </c>
      <c r="G238" s="3" t="n">
        <v>6</v>
      </c>
      <c r="H238" s="4" t="inlineStr">
        <is>
          <t>Jake Tonges</t>
        </is>
      </c>
      <c r="I238" s="4" t="inlineStr">
        <is>
          <t>SF</t>
        </is>
      </c>
      <c r="J238" s="3" t="n">
        <v>8</v>
      </c>
      <c r="K238" s="4" t="inlineStr"/>
      <c r="L238" s="11" t="inlineStr">
        <is>
          <t>Neutral</t>
        </is>
      </c>
      <c r="M238" s="4" t="inlineStr"/>
      <c r="N238" s="3" t="n">
        <v>176.5</v>
      </c>
      <c r="O238" s="22" t="n">
        <v>-58.5</v>
      </c>
      <c r="P238" s="3" t="n">
        <v>-21.9</v>
      </c>
      <c r="Q238" s="4" t="inlineStr"/>
      <c r="R238" s="8" t="inlineStr">
        <is>
          <t>ECR-ranked; no dedicated situational research yet -- verify news/depth chart closer to draft time.</t>
        </is>
      </c>
    </row>
    <row r="239">
      <c r="A239" s="3" t="inlineStr"/>
      <c r="B239" s="3" t="n">
        <v>236</v>
      </c>
      <c r="C239" s="3" t="n">
        <v>10</v>
      </c>
      <c r="D239" s="3" t="inlineStr">
        <is>
          <t>Tier 10</t>
        </is>
      </c>
      <c r="E239" s="4" t="inlineStr">
        <is>
          <t>RB</t>
        </is>
      </c>
      <c r="F239" s="3" t="n">
        <v>90</v>
      </c>
      <c r="G239" s="3" t="n">
        <v>6</v>
      </c>
      <c r="H239" s="4" t="inlineStr">
        <is>
          <t>Tahj Brooks</t>
        </is>
      </c>
      <c r="I239" s="4" t="inlineStr">
        <is>
          <t>CIN</t>
        </is>
      </c>
      <c r="J239" s="3" t="n">
        <v>6</v>
      </c>
      <c r="K239" s="4" t="inlineStr"/>
      <c r="L239" s="9" t="inlineStr">
        <is>
          <t>Gauntlet</t>
        </is>
      </c>
      <c r="M239" s="4" t="inlineStr"/>
      <c r="N239" s="3" t="n"/>
      <c r="O239" s="3" t="n"/>
      <c r="P239" s="3" t="n">
        <v>-21.9</v>
      </c>
      <c r="Q239" s="4" t="inlineStr"/>
      <c r="R239" s="8" t="inlineStr">
        <is>
          <t>ECR-ranked; no dedicated situational research yet -- verify news/depth chart closer to draft time.</t>
        </is>
      </c>
    </row>
    <row r="240">
      <c r="A240" s="3" t="inlineStr"/>
      <c r="B240" s="3" t="n">
        <v>237</v>
      </c>
      <c r="C240" s="3" t="n">
        <v>10</v>
      </c>
      <c r="D240" s="3" t="inlineStr">
        <is>
          <t>Tier 10</t>
        </is>
      </c>
      <c r="E240" s="4" t="inlineStr">
        <is>
          <t>QB</t>
        </is>
      </c>
      <c r="F240" s="3" t="n">
        <v>32</v>
      </c>
      <c r="G240" s="3" t="n">
        <v>6</v>
      </c>
      <c r="H240" s="4" t="inlineStr">
        <is>
          <t>Michael Penix Jr.</t>
        </is>
      </c>
      <c r="I240" s="4" t="inlineStr">
        <is>
          <t>ATL</t>
        </is>
      </c>
      <c r="J240" s="3" t="n">
        <v>11</v>
      </c>
      <c r="K240" s="4" t="inlineStr"/>
      <c r="L240" s="11" t="inlineStr">
        <is>
          <t>Neutral</t>
        </is>
      </c>
      <c r="M240" s="6" t="inlineStr">
        <is>
          <t>Superflex Depth</t>
        </is>
      </c>
      <c r="N240" s="3" t="n">
        <v>168.1</v>
      </c>
      <c r="O240" s="22" t="n">
        <v>-68.90000000000001</v>
      </c>
      <c r="P240" s="3" t="n">
        <v>-22.1</v>
      </c>
      <c r="Q240" s="4" t="inlineStr"/>
      <c r="R240" s="8" t="inlineStr">
        <is>
          <t>ECR-ranked; no dedicated situational research yet -- verify news/depth chart closer to draft time.</t>
        </is>
      </c>
    </row>
    <row r="241">
      <c r="A241" s="3" t="inlineStr"/>
      <c r="B241" s="3" t="n">
        <v>238</v>
      </c>
      <c r="C241" s="3" t="n">
        <v>10</v>
      </c>
      <c r="D241" s="3" t="inlineStr">
        <is>
          <t>Tier 10</t>
        </is>
      </c>
      <c r="E241" s="4" t="inlineStr">
        <is>
          <t>RB</t>
        </is>
      </c>
      <c r="F241" s="3" t="n">
        <v>86</v>
      </c>
      <c r="G241" s="3" t="n">
        <v>6</v>
      </c>
      <c r="H241" s="4" t="inlineStr">
        <is>
          <t>Devin Neal</t>
        </is>
      </c>
      <c r="I241" s="4" t="inlineStr">
        <is>
          <t>NO</t>
        </is>
      </c>
      <c r="J241" s="3" t="n">
        <v>8</v>
      </c>
      <c r="K241" s="4" t="inlineStr"/>
      <c r="L241" s="11" t="inlineStr">
        <is>
          <t>Neutral</t>
        </is>
      </c>
      <c r="M241" s="4" t="inlineStr"/>
      <c r="N241" s="3" t="n"/>
      <c r="O241" s="3" t="n"/>
      <c r="P241" s="3" t="n">
        <v>-22.2</v>
      </c>
      <c r="Q241" s="4" t="inlineStr"/>
      <c r="R241" s="8" t="inlineStr">
        <is>
          <t>ECR-ranked; no dedicated situational research yet -- verify news/depth chart closer to draft time.</t>
        </is>
      </c>
    </row>
    <row r="242">
      <c r="A242" s="3" t="inlineStr"/>
      <c r="B242" s="3" t="n">
        <v>239</v>
      </c>
      <c r="C242" s="3" t="n">
        <v>10</v>
      </c>
      <c r="D242" s="3" t="inlineStr">
        <is>
          <t>Tier 10</t>
        </is>
      </c>
      <c r="E242" s="4" t="inlineStr">
        <is>
          <t>WR</t>
        </is>
      </c>
      <c r="F242" s="3" t="n">
        <v>82</v>
      </c>
      <c r="G242" s="3" t="n">
        <v>6</v>
      </c>
      <c r="H242" s="4" t="inlineStr">
        <is>
          <t>Zachariah Branch</t>
        </is>
      </c>
      <c r="I242" s="4" t="inlineStr">
        <is>
          <t>ATL</t>
        </is>
      </c>
      <c r="J242" s="3" t="n">
        <v>11</v>
      </c>
      <c r="K242" s="4" t="inlineStr"/>
      <c r="L242" s="11" t="inlineStr">
        <is>
          <t>Neutral</t>
        </is>
      </c>
      <c r="M242" s="4" t="inlineStr"/>
      <c r="N242" s="3" t="n">
        <v>172.5</v>
      </c>
      <c r="O242" s="22" t="n">
        <v>-66.5</v>
      </c>
      <c r="P242" s="3" t="n">
        <v>-22.3</v>
      </c>
      <c r="Q242" s="4" t="inlineStr"/>
      <c r="R242" s="8" t="inlineStr">
        <is>
          <t>ECR-ranked; no dedicated situational research yet -- verify news/depth chart closer to draft time.</t>
        </is>
      </c>
    </row>
    <row r="243">
      <c r="A243" s="3" t="inlineStr"/>
      <c r="B243" s="3" t="n">
        <v>240</v>
      </c>
      <c r="C243" s="3" t="n">
        <v>10</v>
      </c>
      <c r="D243" s="3" t="inlineStr">
        <is>
          <t>Tier 10</t>
        </is>
      </c>
      <c r="E243" s="4" t="inlineStr">
        <is>
          <t>WR</t>
        </is>
      </c>
      <c r="F243" s="3" t="n">
        <v>86</v>
      </c>
      <c r="G243" s="3" t="n">
        <v>6</v>
      </c>
      <c r="H243" s="4" t="inlineStr">
        <is>
          <t>Keon Coleman</t>
        </is>
      </c>
      <c r="I243" s="4" t="inlineStr">
        <is>
          <t>BUF</t>
        </is>
      </c>
      <c r="J243" s="3" t="n">
        <v>7</v>
      </c>
      <c r="K243" s="4" t="inlineStr"/>
      <c r="L243" s="9" t="inlineStr">
        <is>
          <t>Gauntlet</t>
        </is>
      </c>
      <c r="M243" s="4" t="inlineStr"/>
      <c r="N243" s="3" t="n">
        <v>175.8</v>
      </c>
      <c r="O243" s="22" t="n">
        <v>-64.2</v>
      </c>
      <c r="P243" s="3" t="n">
        <v>-22.4</v>
      </c>
      <c r="Q243" s="4" t="inlineStr"/>
      <c r="R243" s="8" t="inlineStr">
        <is>
          <t>ECR-ranked; no dedicated situational research yet -- verify news/depth chart closer to draft time.</t>
        </is>
      </c>
    </row>
    <row r="244">
      <c r="A244" s="3" t="inlineStr"/>
      <c r="B244" s="3" t="n">
        <v>241</v>
      </c>
      <c r="C244" s="3" t="n">
        <v>10</v>
      </c>
      <c r="D244" s="3" t="inlineStr">
        <is>
          <t>Tier 10</t>
        </is>
      </c>
      <c r="E244" s="4" t="inlineStr">
        <is>
          <t>RB</t>
        </is>
      </c>
      <c r="F244" s="3" t="n">
        <v>82</v>
      </c>
      <c r="G244" s="3" t="n">
        <v>6</v>
      </c>
      <c r="H244" s="4" t="inlineStr">
        <is>
          <t>Kendre Miller</t>
        </is>
      </c>
      <c r="I244" s="4" t="inlineStr">
        <is>
          <t>NO</t>
        </is>
      </c>
      <c r="J244" s="3" t="n">
        <v>8</v>
      </c>
      <c r="K244" s="12" t="inlineStr">
        <is>
          <t>YES</t>
        </is>
      </c>
      <c r="L244" s="11" t="inlineStr">
        <is>
          <t>Neutral</t>
        </is>
      </c>
      <c r="M244" s="4" t="inlineStr"/>
      <c r="N244" s="3" t="n">
        <v>176.9</v>
      </c>
      <c r="O244" s="22" t="n">
        <v>-64.09999999999999</v>
      </c>
      <c r="P244" s="3" t="n">
        <v>-22.6</v>
      </c>
      <c r="Q244" s="21" t="inlineStr">
        <is>
          <t>DEPTH</t>
        </is>
      </c>
      <c r="R244" s="8" t="inlineStr">
        <is>
          <t>Contract year; Kamara's handcuff in New Orleans</t>
        </is>
      </c>
    </row>
    <row r="245">
      <c r="A245" s="3" t="inlineStr"/>
      <c r="B245" s="3" t="n">
        <v>242</v>
      </c>
      <c r="C245" s="3" t="n">
        <v>10</v>
      </c>
      <c r="D245" s="3" t="inlineStr">
        <is>
          <t>Tier 10</t>
        </is>
      </c>
      <c r="E245" s="4" t="inlineStr">
        <is>
          <t>RB</t>
        </is>
      </c>
      <c r="F245" s="3" t="n">
        <v>91</v>
      </c>
      <c r="G245" s="3" t="n">
        <v>6</v>
      </c>
      <c r="H245" s="4" t="inlineStr">
        <is>
          <t>Trey Benson</t>
        </is>
      </c>
      <c r="I245" s="4" t="inlineStr">
        <is>
          <t>ARI</t>
        </is>
      </c>
      <c r="J245" s="3" t="n">
        <v>14</v>
      </c>
      <c r="K245" s="4" t="inlineStr"/>
      <c r="L245" s="13" t="inlineStr">
        <is>
          <t>Tough</t>
        </is>
      </c>
      <c r="M245" s="4" t="inlineStr"/>
      <c r="N245" s="3" t="n">
        <v>179.6</v>
      </c>
      <c r="O245" s="22" t="n">
        <v>-62.4</v>
      </c>
      <c r="P245" s="3" t="n">
        <v>-22.6</v>
      </c>
      <c r="Q245" s="4" t="inlineStr"/>
      <c r="R245" s="8" t="inlineStr">
        <is>
          <t>ECR-ranked; no dedicated situational research yet -- verify news/depth chart closer to draft time.</t>
        </is>
      </c>
    </row>
    <row r="246">
      <c r="A246" s="3" t="inlineStr"/>
      <c r="B246" s="3" t="n">
        <v>243</v>
      </c>
      <c r="C246" s="3" t="n">
        <v>10</v>
      </c>
      <c r="D246" s="3" t="inlineStr">
        <is>
          <t>Tier 10</t>
        </is>
      </c>
      <c r="E246" s="4" t="inlineStr">
        <is>
          <t>TE</t>
        </is>
      </c>
      <c r="F246" s="3" t="n">
        <v>39</v>
      </c>
      <c r="G246" s="3" t="n">
        <v>6</v>
      </c>
      <c r="H246" s="4" t="inlineStr">
        <is>
          <t>Darnell Washington</t>
        </is>
      </c>
      <c r="I246" s="4" t="inlineStr">
        <is>
          <t>PIT</t>
        </is>
      </c>
      <c r="J246" s="3" t="n">
        <v>9</v>
      </c>
      <c r="K246" s="12" t="inlineStr">
        <is>
          <t>YES</t>
        </is>
      </c>
      <c r="L246" s="13" t="inlineStr">
        <is>
          <t>Tough</t>
        </is>
      </c>
      <c r="M246" s="4" t="inlineStr"/>
      <c r="N246" s="3" t="n"/>
      <c r="O246" s="3" t="n"/>
      <c r="P246" s="3" t="n">
        <v>-22.8</v>
      </c>
      <c r="Q246" s="21" t="inlineStr">
        <is>
          <t>DEPTH</t>
        </is>
      </c>
      <c r="R246" s="8" t="inlineStr">
        <is>
          <t>Contract year; Steelers blocking-TE2</t>
        </is>
      </c>
    </row>
    <row r="247">
      <c r="A247" s="3" t="inlineStr"/>
      <c r="B247" s="3" t="n">
        <v>244</v>
      </c>
      <c r="C247" s="3" t="n">
        <v>10</v>
      </c>
      <c r="D247" s="3" t="inlineStr">
        <is>
          <t>Tier 10</t>
        </is>
      </c>
      <c r="E247" s="4" t="inlineStr">
        <is>
          <t>TE</t>
        </is>
      </c>
      <c r="F247" s="3" t="n">
        <v>42</v>
      </c>
      <c r="G247" s="3" t="n">
        <v>6</v>
      </c>
      <c r="H247" s="4" t="inlineStr">
        <is>
          <t>Charlie Kolar</t>
        </is>
      </c>
      <c r="I247" s="4" t="inlineStr">
        <is>
          <t>LAC</t>
        </is>
      </c>
      <c r="J247" s="3" t="n">
        <v>7</v>
      </c>
      <c r="K247" s="4" t="inlineStr"/>
      <c r="L247" s="13" t="inlineStr">
        <is>
          <t>Tough</t>
        </is>
      </c>
      <c r="M247" s="4" t="inlineStr"/>
      <c r="N247" s="3" t="n"/>
      <c r="O247" s="3" t="n"/>
      <c r="P247" s="3" t="n">
        <v>-22.8</v>
      </c>
      <c r="Q247" s="4" t="inlineStr"/>
      <c r="R247" s="8" t="inlineStr">
        <is>
          <t>ECR-ranked; no dedicated situational research yet -- verify news/depth chart closer to draft time.</t>
        </is>
      </c>
    </row>
    <row r="248">
      <c r="A248" s="3" t="inlineStr"/>
      <c r="B248" s="3" t="n">
        <v>245</v>
      </c>
      <c r="C248" s="3" t="n">
        <v>10</v>
      </c>
      <c r="D248" s="3" t="inlineStr">
        <is>
          <t>Tier 10</t>
        </is>
      </c>
      <c r="E248" s="4" t="inlineStr">
        <is>
          <t>WR</t>
        </is>
      </c>
      <c r="F248" s="3" t="n">
        <v>77</v>
      </c>
      <c r="G248" s="3" t="n">
        <v>6</v>
      </c>
      <c r="H248" s="4" t="inlineStr">
        <is>
          <t>Tank Dell</t>
        </is>
      </c>
      <c r="I248" s="4" t="inlineStr">
        <is>
          <t>HOU</t>
        </is>
      </c>
      <c r="J248" s="3" t="n">
        <v>8</v>
      </c>
      <c r="K248" s="12" t="inlineStr">
        <is>
          <t>YES</t>
        </is>
      </c>
      <c r="L248" s="5" t="inlineStr">
        <is>
          <t>Very Soft</t>
        </is>
      </c>
      <c r="M248" s="4" t="inlineStr"/>
      <c r="N248" s="3" t="n">
        <v>169.6</v>
      </c>
      <c r="O248" s="22" t="n">
        <v>-75.40000000000001</v>
      </c>
      <c r="P248" s="3" t="n">
        <v>-23</v>
      </c>
      <c r="Q248" s="21" t="inlineStr">
        <is>
          <t>DEPTH</t>
        </is>
      </c>
      <c r="R248" s="8" t="inlineStr">
        <is>
          <t>Contract year; Texans depth, buried in a crowded room</t>
        </is>
      </c>
    </row>
    <row r="249">
      <c r="A249" s="3" t="inlineStr"/>
      <c r="B249" s="3" t="n">
        <v>246</v>
      </c>
      <c r="C249" s="3" t="n">
        <v>10</v>
      </c>
      <c r="D249" s="3" t="inlineStr">
        <is>
          <t>Tier 10</t>
        </is>
      </c>
      <c r="E249" s="4" t="inlineStr">
        <is>
          <t>WR</t>
        </is>
      </c>
      <c r="F249" s="3" t="n">
        <v>89</v>
      </c>
      <c r="G249" s="3" t="n">
        <v>6</v>
      </c>
      <c r="H249" s="4" t="inlineStr">
        <is>
          <t>Jack Bech</t>
        </is>
      </c>
      <c r="I249" s="4" t="inlineStr">
        <is>
          <t>LV</t>
        </is>
      </c>
      <c r="J249" s="3" t="n">
        <v>13</v>
      </c>
      <c r="K249" s="4" t="inlineStr"/>
      <c r="L249" s="9" t="inlineStr">
        <is>
          <t>Gauntlet</t>
        </is>
      </c>
      <c r="M249" s="4" t="inlineStr"/>
      <c r="N249" s="3" t="n"/>
      <c r="O249" s="3" t="n"/>
      <c r="P249" s="3" t="n">
        <v>-23</v>
      </c>
      <c r="Q249" s="4" t="inlineStr"/>
      <c r="R249" s="8" t="inlineStr">
        <is>
          <t>ECR-ranked; no dedicated situational research yet -- verify news/depth chart closer to draft time.</t>
        </is>
      </c>
    </row>
    <row r="250">
      <c r="A250" s="3" t="inlineStr"/>
      <c r="B250" s="3" t="n">
        <v>247</v>
      </c>
      <c r="C250" s="3" t="n">
        <v>10</v>
      </c>
      <c r="D250" s="3" t="inlineStr">
        <is>
          <t>Tier 10</t>
        </is>
      </c>
      <c r="E250" s="4" t="inlineStr">
        <is>
          <t>RB</t>
        </is>
      </c>
      <c r="F250" s="3" t="n">
        <v>88</v>
      </c>
      <c r="G250" s="3" t="n">
        <v>6</v>
      </c>
      <c r="H250" s="4" t="inlineStr">
        <is>
          <t>Devin Singletary</t>
        </is>
      </c>
      <c r="I250" s="4" t="inlineStr">
        <is>
          <t>NYG</t>
        </is>
      </c>
      <c r="J250" s="3" t="n">
        <v>8</v>
      </c>
      <c r="K250" s="4" t="inlineStr"/>
      <c r="L250" s="17" t="inlineStr">
        <is>
          <t>Soft</t>
        </is>
      </c>
      <c r="M250" s="4" t="inlineStr"/>
      <c r="N250" s="3" t="n"/>
      <c r="O250" s="3" t="n"/>
      <c r="P250" s="3" t="n">
        <v>-23</v>
      </c>
      <c r="Q250" s="4" t="inlineStr"/>
      <c r="R250" s="8" t="inlineStr">
        <is>
          <t>ECR-ranked; no dedicated situational research yet -- verify news/depth chart closer to draft time.</t>
        </is>
      </c>
    </row>
    <row r="251">
      <c r="A251" s="3" t="inlineStr"/>
      <c r="B251" s="3" t="n">
        <v>248</v>
      </c>
      <c r="C251" s="3" t="n">
        <v>10</v>
      </c>
      <c r="D251" s="3" t="inlineStr">
        <is>
          <t>Tier 10</t>
        </is>
      </c>
      <c r="E251" s="4" t="inlineStr">
        <is>
          <t>RB</t>
        </is>
      </c>
      <c r="F251" s="3" t="n">
        <v>93</v>
      </c>
      <c r="G251" s="3" t="n">
        <v>6</v>
      </c>
      <c r="H251" s="4" t="inlineStr">
        <is>
          <t>Jarquez Hunter</t>
        </is>
      </c>
      <c r="I251" s="4" t="inlineStr">
        <is>
          <t>MIA</t>
        </is>
      </c>
      <c r="J251" s="3" t="n">
        <v>6</v>
      </c>
      <c r="K251" s="4" t="inlineStr"/>
      <c r="L251" s="13" t="inlineStr">
        <is>
          <t>Tough</t>
        </is>
      </c>
      <c r="M251" s="4" t="inlineStr"/>
      <c r="N251" s="3" t="n"/>
      <c r="O251" s="3" t="n"/>
      <c r="P251" s="3" t="n">
        <v>-23.1</v>
      </c>
      <c r="Q251" s="4" t="inlineStr"/>
      <c r="R251" s="8" t="inlineStr">
        <is>
          <t>ECR-ranked; no dedicated situational research yet -- verify news/depth chart closer to draft time.</t>
        </is>
      </c>
    </row>
    <row r="252">
      <c r="A252" s="3" t="inlineStr"/>
      <c r="B252" s="3" t="n">
        <v>249</v>
      </c>
      <c r="C252" s="3" t="n">
        <v>10</v>
      </c>
      <c r="D252" s="3" t="inlineStr">
        <is>
          <t>Tier 10</t>
        </is>
      </c>
      <c r="E252" s="4" t="inlineStr">
        <is>
          <t>TE</t>
        </is>
      </c>
      <c r="F252" s="3" t="n">
        <v>41</v>
      </c>
      <c r="G252" s="3" t="n">
        <v>6</v>
      </c>
      <c r="H252" s="4" t="inlineStr">
        <is>
          <t>Michael Mayer</t>
        </is>
      </c>
      <c r="I252" s="4" t="inlineStr">
        <is>
          <t>LV</t>
        </is>
      </c>
      <c r="J252" s="3" t="n">
        <v>13</v>
      </c>
      <c r="K252" s="12" t="inlineStr">
        <is>
          <t>YES</t>
        </is>
      </c>
      <c r="L252" s="9" t="inlineStr">
        <is>
          <t>Gauntlet</t>
        </is>
      </c>
      <c r="M252" s="4" t="inlineStr"/>
      <c r="N252" s="3" t="n"/>
      <c r="O252" s="3" t="n"/>
      <c r="P252" s="3" t="n">
        <v>-23.1</v>
      </c>
      <c r="Q252" s="21" t="inlineStr">
        <is>
          <t>DEPTH</t>
        </is>
      </c>
      <c r="R252" s="8" t="inlineStr">
        <is>
          <t>Contract year; Raiders TE2</t>
        </is>
      </c>
    </row>
    <row r="253">
      <c r="A253" s="3" t="inlineStr"/>
      <c r="B253" s="3" t="n">
        <v>250</v>
      </c>
      <c r="C253" s="3" t="n">
        <v>10</v>
      </c>
      <c r="D253" s="3" t="inlineStr">
        <is>
          <t>Tier 10</t>
        </is>
      </c>
      <c r="E253" s="4" t="inlineStr">
        <is>
          <t>TE</t>
        </is>
      </c>
      <c r="F253" s="3" t="n">
        <v>40</v>
      </c>
      <c r="G253" s="3" t="n">
        <v>6</v>
      </c>
      <c r="H253" s="4" t="inlineStr">
        <is>
          <t>Oscar Delp</t>
        </is>
      </c>
      <c r="I253" s="4" t="inlineStr">
        <is>
          <t>NO</t>
        </is>
      </c>
      <c r="J253" s="3" t="n">
        <v>8</v>
      </c>
      <c r="K253" s="4" t="inlineStr"/>
      <c r="L253" s="17" t="inlineStr">
        <is>
          <t>Soft</t>
        </is>
      </c>
      <c r="M253" s="4" t="inlineStr"/>
      <c r="N253" s="3" t="n"/>
      <c r="O253" s="3" t="n"/>
      <c r="P253" s="3" t="n">
        <v>-23.1</v>
      </c>
      <c r="Q253" s="4" t="inlineStr"/>
      <c r="R253" s="8" t="inlineStr">
        <is>
          <t>ECR-ranked; no dedicated situational research yet -- verify news/depth chart closer to draft time.</t>
        </is>
      </c>
    </row>
    <row r="254">
      <c r="A254" s="3" t="inlineStr"/>
      <c r="B254" s="3" t="n">
        <v>251</v>
      </c>
      <c r="C254" s="3" t="n">
        <v>10</v>
      </c>
      <c r="D254" s="3" t="inlineStr">
        <is>
          <t>Tier 10</t>
        </is>
      </c>
      <c r="E254" s="4" t="inlineStr">
        <is>
          <t>RB</t>
        </is>
      </c>
      <c r="F254" s="3" t="n">
        <v>97</v>
      </c>
      <c r="G254" s="3" t="n">
        <v>6</v>
      </c>
      <c r="H254" s="4" t="inlineStr">
        <is>
          <t>Jaleel McLaughlin</t>
        </is>
      </c>
      <c r="I254" s="4" t="inlineStr">
        <is>
          <t>DEN</t>
        </is>
      </c>
      <c r="J254" s="3" t="n">
        <v>10</v>
      </c>
      <c r="K254" s="4" t="inlineStr"/>
      <c r="L254" s="9" t="inlineStr">
        <is>
          <t>Gauntlet</t>
        </is>
      </c>
      <c r="M254" s="4" t="inlineStr"/>
      <c r="N254" s="3" t="n"/>
      <c r="O254" s="3" t="n"/>
      <c r="P254" s="3" t="n">
        <v>-23.1</v>
      </c>
      <c r="Q254" s="4" t="inlineStr"/>
      <c r="R254" s="8" t="inlineStr">
        <is>
          <t>ECR-ranked; no dedicated situational research yet -- verify news/depth chart closer to draft time.</t>
        </is>
      </c>
    </row>
    <row r="255">
      <c r="A255" s="3" t="inlineStr"/>
      <c r="B255" s="3" t="n">
        <v>252</v>
      </c>
      <c r="C255" s="3" t="n">
        <v>10</v>
      </c>
      <c r="D255" s="3" t="inlineStr">
        <is>
          <t>Tier 10</t>
        </is>
      </c>
      <c r="E255" s="4" t="inlineStr">
        <is>
          <t>RB</t>
        </is>
      </c>
      <c r="F255" s="3" t="n">
        <v>94</v>
      </c>
      <c r="G255" s="3" t="n">
        <v>6</v>
      </c>
      <c r="H255" s="4" t="inlineStr">
        <is>
          <t>Jerome Ford</t>
        </is>
      </c>
      <c r="I255" s="4" t="inlineStr">
        <is>
          <t>WAS</t>
        </is>
      </c>
      <c r="J255" s="3" t="n">
        <v>7</v>
      </c>
      <c r="K255" s="4" t="inlineStr"/>
      <c r="L255" s="13" t="inlineStr">
        <is>
          <t>Tough</t>
        </is>
      </c>
      <c r="M255" s="4" t="inlineStr"/>
      <c r="N255" s="3" t="n"/>
      <c r="O255" s="3" t="n"/>
      <c r="P255" s="3" t="n">
        <v>-23.1</v>
      </c>
      <c r="Q255" s="4" t="inlineStr"/>
      <c r="R255" s="8" t="inlineStr">
        <is>
          <t>ECR-ranked; no dedicated situational research yet -- verify news/depth chart closer to draft time.</t>
        </is>
      </c>
    </row>
    <row r="256">
      <c r="A256" s="3" t="inlineStr"/>
      <c r="B256" s="3" t="n">
        <v>253</v>
      </c>
      <c r="C256" s="3" t="n">
        <v>10</v>
      </c>
      <c r="D256" s="3" t="inlineStr">
        <is>
          <t>Tier 10</t>
        </is>
      </c>
      <c r="E256" s="4" t="inlineStr">
        <is>
          <t>WR</t>
        </is>
      </c>
      <c r="F256" s="3" t="n">
        <v>83</v>
      </c>
      <c r="G256" s="3" t="n">
        <v>6</v>
      </c>
      <c r="H256" s="4" t="inlineStr">
        <is>
          <t>Troy Franklin</t>
        </is>
      </c>
      <c r="I256" s="4" t="inlineStr">
        <is>
          <t>DEN</t>
        </is>
      </c>
      <c r="J256" s="3" t="n">
        <v>10</v>
      </c>
      <c r="K256" s="4" t="inlineStr"/>
      <c r="L256" s="17" t="inlineStr">
        <is>
          <t>Soft</t>
        </is>
      </c>
      <c r="M256" s="4" t="inlineStr"/>
      <c r="N256" s="3" t="n">
        <v>174.4</v>
      </c>
      <c r="O256" s="22" t="n">
        <v>-78.59999999999999</v>
      </c>
      <c r="P256" s="3" t="n">
        <v>-23.2</v>
      </c>
      <c r="Q256" s="4" t="inlineStr"/>
      <c r="R256" s="8" t="inlineStr">
        <is>
          <t>ECR-ranked; no dedicated situational research yet -- verify news/depth chart closer to draft time.</t>
        </is>
      </c>
    </row>
    <row r="257">
      <c r="A257" s="3" t="inlineStr"/>
      <c r="B257" s="3" t="n">
        <v>254</v>
      </c>
      <c r="C257" s="3" t="n">
        <v>10</v>
      </c>
      <c r="D257" s="3" t="inlineStr">
        <is>
          <t>Tier 10</t>
        </is>
      </c>
      <c r="E257" s="4" t="inlineStr">
        <is>
          <t>WR</t>
        </is>
      </c>
      <c r="F257" s="3" t="n">
        <v>84</v>
      </c>
      <c r="G257" s="3" t="n">
        <v>6</v>
      </c>
      <c r="H257" s="4" t="inlineStr">
        <is>
          <t>Devaughn Vele</t>
        </is>
      </c>
      <c r="I257" s="4" t="inlineStr">
        <is>
          <t>NO</t>
        </is>
      </c>
      <c r="J257" s="3" t="n">
        <v>8</v>
      </c>
      <c r="K257" s="4" t="inlineStr"/>
      <c r="L257" s="17" t="inlineStr">
        <is>
          <t>Soft</t>
        </is>
      </c>
      <c r="M257" s="4" t="inlineStr"/>
      <c r="N257" s="3" t="n">
        <v>170.7</v>
      </c>
      <c r="O257" s="22" t="n">
        <v>-83.3</v>
      </c>
      <c r="P257" s="3" t="n">
        <v>-23.4</v>
      </c>
      <c r="Q257" s="4" t="inlineStr"/>
      <c r="R257" s="8" t="inlineStr">
        <is>
          <t>ECR-ranked; no dedicated situational research yet -- verify news/depth chart closer to draft time.</t>
        </is>
      </c>
    </row>
    <row r="258">
      <c r="A258" s="3" t="inlineStr"/>
      <c r="B258" s="3" t="n">
        <v>255</v>
      </c>
      <c r="C258" s="3" t="n">
        <v>10</v>
      </c>
      <c r="D258" s="3" t="inlineStr">
        <is>
          <t>Tier 10</t>
        </is>
      </c>
      <c r="E258" s="4" t="inlineStr">
        <is>
          <t>WR</t>
        </is>
      </c>
      <c r="F258" s="3" t="n">
        <v>91</v>
      </c>
      <c r="G258" s="3" t="n">
        <v>6</v>
      </c>
      <c r="H258" s="4" t="inlineStr">
        <is>
          <t>Ted Hurst III</t>
        </is>
      </c>
      <c r="I258" s="4" t="inlineStr">
        <is>
          <t>TB</t>
        </is>
      </c>
      <c r="J258" s="3" t="n">
        <v>10</v>
      </c>
      <c r="K258" s="4" t="inlineStr"/>
      <c r="L258" s="9" t="inlineStr">
        <is>
          <t>Gauntlet</t>
        </is>
      </c>
      <c r="M258" s="4" t="inlineStr"/>
      <c r="N258" s="3" t="n"/>
      <c r="O258" s="3" t="n"/>
      <c r="P258" s="3" t="n">
        <v>-23.6</v>
      </c>
      <c r="Q258" s="4" t="inlineStr"/>
      <c r="R258" s="8" t="inlineStr">
        <is>
          <t>ECR-ranked; no dedicated situational research yet -- verify news/depth chart closer to draft time.</t>
        </is>
      </c>
    </row>
    <row r="259">
      <c r="A259" s="3" t="inlineStr"/>
      <c r="B259" s="3" t="n">
        <v>256</v>
      </c>
      <c r="C259" s="3" t="n">
        <v>10</v>
      </c>
      <c r="D259" s="3" t="inlineStr">
        <is>
          <t>Tier 10</t>
        </is>
      </c>
      <c r="E259" s="4" t="inlineStr">
        <is>
          <t>RB</t>
        </is>
      </c>
      <c r="F259" s="3" t="n">
        <v>89</v>
      </c>
      <c r="G259" s="3" t="n">
        <v>6</v>
      </c>
      <c r="H259" s="4" t="inlineStr">
        <is>
          <t>Trevor Etienne</t>
        </is>
      </c>
      <c r="I259" s="4" t="inlineStr">
        <is>
          <t>CAR</t>
        </is>
      </c>
      <c r="J259" s="3" t="n">
        <v>5</v>
      </c>
      <c r="K259" s="4" t="inlineStr"/>
      <c r="L259" s="17" t="inlineStr">
        <is>
          <t>Soft</t>
        </is>
      </c>
      <c r="M259" s="4" t="inlineStr"/>
      <c r="N259" s="3" t="n"/>
      <c r="O259" s="3" t="n"/>
      <c r="P259" s="3" t="n">
        <v>-23.6</v>
      </c>
      <c r="Q259" s="4" t="inlineStr"/>
      <c r="R259" s="8" t="inlineStr">
        <is>
          <t>ECR-ranked; no dedicated situational research yet -- verify news/depth chart closer to draft time.</t>
        </is>
      </c>
    </row>
    <row r="260">
      <c r="A260" s="3" t="inlineStr"/>
      <c r="B260" s="3" t="n">
        <v>257</v>
      </c>
      <c r="C260" s="3" t="n">
        <v>10</v>
      </c>
      <c r="D260" s="3" t="inlineStr">
        <is>
          <t>Tier 10</t>
        </is>
      </c>
      <c r="E260" s="4" t="inlineStr">
        <is>
          <t>RB</t>
        </is>
      </c>
      <c r="F260" s="3" t="n">
        <v>95</v>
      </c>
      <c r="G260" s="3" t="n">
        <v>6</v>
      </c>
      <c r="H260" s="4" t="inlineStr">
        <is>
          <t>Isaac Guerendo</t>
        </is>
      </c>
      <c r="I260" s="4" t="inlineStr">
        <is>
          <t>SF</t>
        </is>
      </c>
      <c r="J260" s="3" t="n">
        <v>8</v>
      </c>
      <c r="K260" s="4" t="inlineStr"/>
      <c r="L260" s="11" t="inlineStr">
        <is>
          <t>Neutral</t>
        </is>
      </c>
      <c r="M260" s="4" t="inlineStr"/>
      <c r="N260" s="3" t="n"/>
      <c r="O260" s="3" t="n"/>
      <c r="P260" s="3" t="n">
        <v>-23.7</v>
      </c>
      <c r="Q260" s="23" t="inlineStr">
        <is>
          <t>HANDCUFF</t>
        </is>
      </c>
      <c r="R260" s="8" t="inlineStr">
        <is>
          <t>Competing for McCaffrey's direct backup job</t>
        </is>
      </c>
    </row>
    <row r="261">
      <c r="A261" s="3" t="inlineStr"/>
      <c r="B261" s="3" t="n">
        <v>258</v>
      </c>
      <c r="C261" s="3" t="n">
        <v>10</v>
      </c>
      <c r="D261" s="3" t="inlineStr">
        <is>
          <t>Tier 10</t>
        </is>
      </c>
      <c r="E261" s="4" t="inlineStr">
        <is>
          <t>QB</t>
        </is>
      </c>
      <c r="F261" s="3" t="n">
        <v>33</v>
      </c>
      <c r="G261" s="3" t="n">
        <v>6</v>
      </c>
      <c r="H261" s="4" t="inlineStr">
        <is>
          <t>Kirk Cousins</t>
        </is>
      </c>
      <c r="I261" s="4" t="inlineStr">
        <is>
          <t>LV</t>
        </is>
      </c>
      <c r="J261" s="3" t="n">
        <v>13</v>
      </c>
      <c r="K261" s="12" t="inlineStr">
        <is>
          <t>YES</t>
        </is>
      </c>
      <c r="L261" s="9" t="inlineStr">
        <is>
          <t>Gauntlet</t>
        </is>
      </c>
      <c r="M261" s="6" t="inlineStr">
        <is>
          <t>Superflex Depth</t>
        </is>
      </c>
      <c r="N261" s="3" t="n">
        <v>165.9</v>
      </c>
      <c r="O261" s="22" t="n">
        <v>-92.09999999999999</v>
      </c>
      <c r="P261" s="3" t="n">
        <v>-23.7</v>
      </c>
      <c r="Q261" s="21" t="inlineStr">
        <is>
          <t>DEPTH</t>
        </is>
      </c>
      <c r="R261" s="8" t="inlineStr">
        <is>
          <t>Contract year; age 38, backup in Las Vegas</t>
        </is>
      </c>
    </row>
    <row r="262">
      <c r="A262" s="3" t="inlineStr"/>
      <c r="B262" s="3" t="n">
        <v>259</v>
      </c>
      <c r="C262" s="3" t="n">
        <v>10</v>
      </c>
      <c r="D262" s="3" t="inlineStr">
        <is>
          <t>Tier 10</t>
        </is>
      </c>
      <c r="E262" s="4" t="inlineStr">
        <is>
          <t>TE</t>
        </is>
      </c>
      <c r="F262" s="3" t="n">
        <v>43</v>
      </c>
      <c r="G262" s="3" t="n">
        <v>6</v>
      </c>
      <c r="H262" s="4" t="inlineStr">
        <is>
          <t>Elijah Arroyo</t>
        </is>
      </c>
      <c r="I262" s="4" t="inlineStr">
        <is>
          <t>SEA</t>
        </is>
      </c>
      <c r="J262" s="3" t="n">
        <v>11</v>
      </c>
      <c r="K262" s="4" t="inlineStr"/>
      <c r="L262" s="11" t="inlineStr">
        <is>
          <t>Neutral</t>
        </is>
      </c>
      <c r="M262" s="4" t="inlineStr"/>
      <c r="N262" s="3" t="n"/>
      <c r="O262" s="3" t="n"/>
      <c r="P262" s="3" t="n">
        <v>-23.8</v>
      </c>
      <c r="Q262" s="4" t="inlineStr"/>
      <c r="R262" s="8" t="inlineStr">
        <is>
          <t>ECR-ranked; no dedicated situational research yet -- verify news/depth chart closer to draft time.</t>
        </is>
      </c>
    </row>
    <row r="263">
      <c r="A263" s="3" t="inlineStr"/>
      <c r="B263" s="3" t="n">
        <v>260</v>
      </c>
      <c r="C263" s="3" t="n">
        <v>10</v>
      </c>
      <c r="D263" s="3" t="inlineStr">
        <is>
          <t>Tier 10</t>
        </is>
      </c>
      <c r="E263" s="4" t="inlineStr">
        <is>
          <t>RB</t>
        </is>
      </c>
      <c r="F263" s="3" t="n">
        <v>96</v>
      </c>
      <c r="G263" s="3" t="n">
        <v>6</v>
      </c>
      <c r="H263" s="4" t="inlineStr">
        <is>
          <t>Audric Estime</t>
        </is>
      </c>
      <c r="I263" s="4" t="inlineStr">
        <is>
          <t>NO</t>
        </is>
      </c>
      <c r="J263" s="3" t="n">
        <v>8</v>
      </c>
      <c r="K263" s="4" t="inlineStr"/>
      <c r="L263" s="11" t="inlineStr">
        <is>
          <t>Neutral</t>
        </is>
      </c>
      <c r="M263" s="4" t="inlineStr"/>
      <c r="N263" s="3" t="n"/>
      <c r="O263" s="3" t="n"/>
      <c r="P263" s="3" t="n">
        <v>-23.9</v>
      </c>
      <c r="Q263" s="4" t="inlineStr"/>
      <c r="R263" s="8" t="inlineStr">
        <is>
          <t>ECR-ranked; no dedicated situational research yet -- verify news/depth chart closer to draft time.</t>
        </is>
      </c>
    </row>
    <row r="264">
      <c r="A264" s="3" t="inlineStr"/>
      <c r="B264" s="3" t="n">
        <v>261</v>
      </c>
      <c r="C264" s="3" t="n">
        <v>10</v>
      </c>
      <c r="D264" s="3" t="inlineStr">
        <is>
          <t>Tier 10</t>
        </is>
      </c>
      <c r="E264" s="4" t="inlineStr">
        <is>
          <t>TE</t>
        </is>
      </c>
      <c r="F264" s="3" t="n">
        <v>46</v>
      </c>
      <c r="G264" s="3" t="n">
        <v>6</v>
      </c>
      <c r="H264" s="4" t="inlineStr">
        <is>
          <t>Cole Kmet</t>
        </is>
      </c>
      <c r="I264" s="4" t="inlineStr">
        <is>
          <t>CHI</t>
        </is>
      </c>
      <c r="J264" s="3" t="n">
        <v>10</v>
      </c>
      <c r="K264" s="4" t="inlineStr"/>
      <c r="L264" s="9" t="inlineStr">
        <is>
          <t>Gauntlet</t>
        </is>
      </c>
      <c r="M264" s="4" t="inlineStr"/>
      <c r="N264" s="3" t="n"/>
      <c r="O264" s="3" t="n"/>
      <c r="P264" s="3" t="n">
        <v>-24</v>
      </c>
      <c r="Q264" s="4" t="inlineStr"/>
      <c r="R264" s="8" t="inlineStr">
        <is>
          <t>ECR-ranked; no dedicated situational research yet -- verify news/depth chart closer to draft time.</t>
        </is>
      </c>
    </row>
    <row r="265">
      <c r="A265" s="3" t="inlineStr"/>
      <c r="B265" s="3" t="n">
        <v>262</v>
      </c>
      <c r="C265" s="3" t="n">
        <v>10</v>
      </c>
      <c r="D265" s="3" t="inlineStr">
        <is>
          <t>Tier 10</t>
        </is>
      </c>
      <c r="E265" s="4" t="inlineStr">
        <is>
          <t>RB</t>
        </is>
      </c>
      <c r="F265" s="3" t="n">
        <v>92</v>
      </c>
      <c r="G265" s="3" t="n">
        <v>6</v>
      </c>
      <c r="H265" s="4" t="inlineStr">
        <is>
          <t>Kaleb Johnson</t>
        </is>
      </c>
      <c r="I265" s="4" t="inlineStr">
        <is>
          <t>PIT</t>
        </is>
      </c>
      <c r="J265" s="3" t="n">
        <v>9</v>
      </c>
      <c r="K265" s="4" t="inlineStr"/>
      <c r="L265" s="17" t="inlineStr">
        <is>
          <t>Soft</t>
        </is>
      </c>
      <c r="M265" s="4" t="inlineStr"/>
      <c r="N265" s="3" t="n"/>
      <c r="O265" s="3" t="n"/>
      <c r="P265" s="3" t="n">
        <v>-24</v>
      </c>
      <c r="Q265" s="4" t="inlineStr"/>
      <c r="R265" s="8" t="inlineStr">
        <is>
          <t>ECR-ranked; no dedicated situational research yet -- verify news/depth chart closer to draft time.</t>
        </is>
      </c>
    </row>
    <row r="266">
      <c r="A266" s="3" t="inlineStr"/>
      <c r="B266" s="3" t="n">
        <v>263</v>
      </c>
      <c r="C266" s="3" t="n">
        <v>10</v>
      </c>
      <c r="D266" s="3" t="inlineStr">
        <is>
          <t>Tier 10</t>
        </is>
      </c>
      <c r="E266" s="4" t="inlineStr">
        <is>
          <t>RB</t>
        </is>
      </c>
      <c r="F266" s="3" t="n">
        <v>101</v>
      </c>
      <c r="G266" s="3" t="n">
        <v>6</v>
      </c>
      <c r="H266" s="4" t="inlineStr">
        <is>
          <t>Bam Knight</t>
        </is>
      </c>
      <c r="I266" s="4" t="inlineStr">
        <is>
          <t>ARI</t>
        </is>
      </c>
      <c r="J266" s="3" t="n">
        <v>14</v>
      </c>
      <c r="K266" s="4" t="inlineStr"/>
      <c r="L266" s="13" t="inlineStr">
        <is>
          <t>Tough</t>
        </is>
      </c>
      <c r="M266" s="4" t="inlineStr"/>
      <c r="N266" s="3" t="n"/>
      <c r="O266" s="3" t="n"/>
      <c r="P266" s="3" t="n">
        <v>-24.1</v>
      </c>
      <c r="Q266" s="4" t="inlineStr"/>
      <c r="R266" s="8" t="inlineStr">
        <is>
          <t>ECR-ranked; no dedicated situational research yet -- verify news/depth chart closer to draft time.</t>
        </is>
      </c>
    </row>
    <row r="267">
      <c r="A267" s="3" t="inlineStr"/>
      <c r="B267" s="3" t="n">
        <v>264</v>
      </c>
      <c r="C267" s="3" t="n">
        <v>10</v>
      </c>
      <c r="D267" s="3" t="inlineStr">
        <is>
          <t>Tier 10</t>
        </is>
      </c>
      <c r="E267" s="4" t="inlineStr">
        <is>
          <t>TE</t>
        </is>
      </c>
      <c r="F267" s="3" t="n">
        <v>47</v>
      </c>
      <c r="G267" s="3" t="n">
        <v>6</v>
      </c>
      <c r="H267" s="4" t="inlineStr">
        <is>
          <t>Dawson Knox</t>
        </is>
      </c>
      <c r="I267" s="4" t="inlineStr">
        <is>
          <t>BUF</t>
        </is>
      </c>
      <c r="J267" s="3" t="n">
        <v>7</v>
      </c>
      <c r="K267" s="4" t="inlineStr"/>
      <c r="L267" s="9" t="inlineStr">
        <is>
          <t>Gauntlet</t>
        </is>
      </c>
      <c r="M267" s="4" t="inlineStr"/>
      <c r="N267" s="3" t="n"/>
      <c r="O267" s="3" t="n"/>
      <c r="P267" s="3" t="n">
        <v>-24.1</v>
      </c>
      <c r="Q267" s="4" t="inlineStr"/>
      <c r="R267" s="8" t="inlineStr">
        <is>
          <t>ECR-ranked; no dedicated situational research yet -- verify news/depth chart closer to draft time.</t>
        </is>
      </c>
    </row>
    <row r="268">
      <c r="A268" s="3" t="inlineStr"/>
      <c r="B268" s="3" t="n">
        <v>265</v>
      </c>
      <c r="C268" s="3" t="n">
        <v>10</v>
      </c>
      <c r="D268" s="3" t="inlineStr">
        <is>
          <t>Tier 10</t>
        </is>
      </c>
      <c r="E268" s="4" t="inlineStr">
        <is>
          <t>WR</t>
        </is>
      </c>
      <c r="F268" s="3" t="n">
        <v>80</v>
      </c>
      <c r="G268" s="3" t="n">
        <v>6</v>
      </c>
      <c r="H268" s="4" t="inlineStr">
        <is>
          <t>Darnell Mooney</t>
        </is>
      </c>
      <c r="I268" s="4" t="inlineStr">
        <is>
          <t>NYG</t>
        </is>
      </c>
      <c r="J268" s="3" t="n">
        <v>8</v>
      </c>
      <c r="K268" s="12" t="inlineStr">
        <is>
          <t>YES</t>
        </is>
      </c>
      <c r="L268" s="5" t="inlineStr">
        <is>
          <t>Very Soft</t>
        </is>
      </c>
      <c r="M268" s="4" t="inlineStr"/>
      <c r="N268" s="3" t="n">
        <v>181.7</v>
      </c>
      <c r="O268" s="22" t="n">
        <v>-83.3</v>
      </c>
      <c r="P268" s="3" t="n">
        <v>-24.2</v>
      </c>
      <c r="Q268" s="21" t="inlineStr">
        <is>
          <t>DEPTH</t>
        </is>
      </c>
      <c r="R268" s="8" t="inlineStr">
        <is>
          <t>Contract year; Giants WR2</t>
        </is>
      </c>
    </row>
    <row r="269">
      <c r="A269" s="3" t="inlineStr"/>
      <c r="B269" s="3" t="n">
        <v>266</v>
      </c>
      <c r="C269" s="3" t="n">
        <v>10</v>
      </c>
      <c r="D269" s="3" t="inlineStr">
        <is>
          <t>Tier 10</t>
        </is>
      </c>
      <c r="E269" s="4" t="inlineStr">
        <is>
          <t>RB</t>
        </is>
      </c>
      <c r="F269" s="3" t="n">
        <v>105</v>
      </c>
      <c r="G269" s="3" t="n">
        <v>6</v>
      </c>
      <c r="H269" s="4" t="inlineStr">
        <is>
          <t>Raheim Sanders</t>
        </is>
      </c>
      <c r="I269" s="4" t="inlineStr">
        <is>
          <t>CLE</t>
        </is>
      </c>
      <c r="J269" s="3" t="n">
        <v>11</v>
      </c>
      <c r="K269" s="4" t="inlineStr"/>
      <c r="L269" s="9" t="inlineStr">
        <is>
          <t>Gauntlet</t>
        </is>
      </c>
      <c r="M269" s="4" t="inlineStr"/>
      <c r="N269" s="3" t="n"/>
      <c r="O269" s="3" t="n"/>
      <c r="P269" s="3" t="n">
        <v>-24.3</v>
      </c>
      <c r="Q269" s="4" t="inlineStr"/>
      <c r="R269" s="8" t="inlineStr">
        <is>
          <t>ECR-ranked; no dedicated situational research yet -- verify news/depth chart closer to draft time.</t>
        </is>
      </c>
    </row>
    <row r="270">
      <c r="A270" s="3" t="inlineStr"/>
      <c r="B270" s="3" t="n">
        <v>267</v>
      </c>
      <c r="C270" s="3" t="n">
        <v>10</v>
      </c>
      <c r="D270" s="3" t="inlineStr">
        <is>
          <t>Tier 10</t>
        </is>
      </c>
      <c r="E270" s="4" t="inlineStr">
        <is>
          <t>WR</t>
        </is>
      </c>
      <c r="F270" s="3" t="n">
        <v>85</v>
      </c>
      <c r="G270" s="3" t="n">
        <v>6</v>
      </c>
      <c r="H270" s="4" t="inlineStr">
        <is>
          <t>Malachi Fields</t>
        </is>
      </c>
      <c r="I270" s="4" t="inlineStr">
        <is>
          <t>NYG</t>
        </is>
      </c>
      <c r="J270" s="3" t="n">
        <v>8</v>
      </c>
      <c r="K270" s="4" t="inlineStr"/>
      <c r="L270" s="5" t="inlineStr">
        <is>
          <t>Very Soft</t>
        </is>
      </c>
      <c r="M270" s="4" t="inlineStr"/>
      <c r="N270" s="3" t="n">
        <v>171.3</v>
      </c>
      <c r="O270" s="22" t="n">
        <v>-95.7</v>
      </c>
      <c r="P270" s="3" t="n">
        <v>-24.4</v>
      </c>
      <c r="Q270" s="4" t="inlineStr"/>
      <c r="R270" s="8" t="inlineStr">
        <is>
          <t>ECR-ranked; no dedicated situational research yet -- verify news/depth chart closer to draft time.</t>
        </is>
      </c>
    </row>
    <row r="271">
      <c r="A271" s="3" t="inlineStr"/>
      <c r="B271" s="3" t="n">
        <v>268</v>
      </c>
      <c r="C271" s="3" t="n">
        <v>10</v>
      </c>
      <c r="D271" s="3" t="inlineStr">
        <is>
          <t>Tier 10</t>
        </is>
      </c>
      <c r="E271" s="4" t="inlineStr">
        <is>
          <t>TE</t>
        </is>
      </c>
      <c r="F271" s="3" t="n">
        <v>45</v>
      </c>
      <c r="G271" s="3" t="n">
        <v>6</v>
      </c>
      <c r="H271" s="4" t="inlineStr">
        <is>
          <t>Eli Raridon</t>
        </is>
      </c>
      <c r="I271" s="4" t="inlineStr">
        <is>
          <t>NE</t>
        </is>
      </c>
      <c r="J271" s="3" t="n">
        <v>11</v>
      </c>
      <c r="K271" s="4" t="inlineStr"/>
      <c r="L271" s="11" t="inlineStr">
        <is>
          <t>Neutral</t>
        </is>
      </c>
      <c r="M271" s="4" t="inlineStr"/>
      <c r="N271" s="3" t="n"/>
      <c r="O271" s="3" t="n"/>
      <c r="P271" s="3" t="n">
        <v>-24.5</v>
      </c>
      <c r="Q271" s="4" t="inlineStr"/>
      <c r="R271" s="8" t="inlineStr">
        <is>
          <t>ECR-ranked; no dedicated situational research yet -- verify news/depth chart closer to draft time.</t>
        </is>
      </c>
    </row>
    <row r="272">
      <c r="A272" s="3" t="inlineStr"/>
      <c r="B272" s="3" t="n">
        <v>269</v>
      </c>
      <c r="C272" s="3" t="n">
        <v>10</v>
      </c>
      <c r="D272" s="3" t="inlineStr">
        <is>
          <t>Tier 10</t>
        </is>
      </c>
      <c r="E272" s="4" t="inlineStr">
        <is>
          <t>RB</t>
        </is>
      </c>
      <c r="F272" s="3" t="n">
        <v>99</v>
      </c>
      <c r="G272" s="3" t="n">
        <v>6</v>
      </c>
      <c r="H272" s="4" t="inlineStr">
        <is>
          <t>Kareem Hunt</t>
        </is>
      </c>
      <c r="I272" s="4" t="inlineStr">
        <is>
          <t>FA</t>
        </is>
      </c>
      <c r="J272" s="3" t="inlineStr">
        <is>
          <t>FA</t>
        </is>
      </c>
      <c r="K272" s="4" t="inlineStr"/>
      <c r="L272" s="11" t="inlineStr">
        <is>
          <t>N/A (FA)</t>
        </is>
      </c>
      <c r="M272" s="4" t="inlineStr"/>
      <c r="N272" s="3" t="n"/>
      <c r="O272" s="3" t="n"/>
      <c r="P272" s="3" t="n">
        <v>-24.5</v>
      </c>
      <c r="Q272" s="4" t="inlineStr"/>
      <c r="R272" s="8" t="inlineStr">
        <is>
          <t>ECR-ranked; no dedicated situational research yet -- verify news/depth chart closer to draft time.</t>
        </is>
      </c>
    </row>
    <row r="273">
      <c r="A273" s="3" t="inlineStr"/>
      <c r="B273" s="3" t="n">
        <v>270</v>
      </c>
      <c r="C273" s="3" t="n">
        <v>10</v>
      </c>
      <c r="D273" s="3" t="inlineStr">
        <is>
          <t>Tier 10</t>
        </is>
      </c>
      <c r="E273" s="4" t="inlineStr">
        <is>
          <t>RB</t>
        </is>
      </c>
      <c r="F273" s="3" t="n">
        <v>100</v>
      </c>
      <c r="G273" s="3" t="n">
        <v>6</v>
      </c>
      <c r="H273" s="4" t="inlineStr">
        <is>
          <t>Joe Mixon</t>
        </is>
      </c>
      <c r="I273" s="4" t="inlineStr">
        <is>
          <t>FA</t>
        </is>
      </c>
      <c r="J273" s="3" t="inlineStr">
        <is>
          <t>FA</t>
        </is>
      </c>
      <c r="K273" s="4" t="inlineStr"/>
      <c r="L273" s="11" t="inlineStr">
        <is>
          <t>N/A (FA)</t>
        </is>
      </c>
      <c r="M273" s="4" t="inlineStr"/>
      <c r="N273" s="3" t="n"/>
      <c r="O273" s="3" t="n"/>
      <c r="P273" s="3" t="n">
        <v>-24.6</v>
      </c>
      <c r="Q273" s="4" t="inlineStr"/>
      <c r="R273" s="8" t="inlineStr">
        <is>
          <t>ECR-ranked; no dedicated situational research yet -- verify news/depth chart closer to draft time.</t>
        </is>
      </c>
    </row>
    <row r="274">
      <c r="A274" s="3" t="inlineStr"/>
      <c r="B274" s="3" t="n">
        <v>271</v>
      </c>
      <c r="C274" s="3" t="n">
        <v>10</v>
      </c>
      <c r="D274" s="3" t="inlineStr">
        <is>
          <t>Tier 10</t>
        </is>
      </c>
      <c r="E274" s="4" t="inlineStr">
        <is>
          <t>WR</t>
        </is>
      </c>
      <c r="F274" s="3" t="n">
        <v>87</v>
      </c>
      <c r="G274" s="3" t="n">
        <v>6</v>
      </c>
      <c r="H274" s="4" t="inlineStr">
        <is>
          <t>Ja'Kobi Lane</t>
        </is>
      </c>
      <c r="I274" s="4" t="inlineStr">
        <is>
          <t>BAL</t>
        </is>
      </c>
      <c r="J274" s="3" t="n">
        <v>13</v>
      </c>
      <c r="K274" s="4" t="inlineStr"/>
      <c r="L274" s="5" t="inlineStr">
        <is>
          <t>Very Soft</t>
        </is>
      </c>
      <c r="M274" s="4" t="inlineStr"/>
      <c r="N274" s="3" t="n">
        <v>158.5</v>
      </c>
      <c r="O274" s="22" t="n">
        <v>-112.5</v>
      </c>
      <c r="P274" s="3" t="n">
        <v>-24.7</v>
      </c>
      <c r="Q274" s="4" t="inlineStr"/>
      <c r="R274" s="8" t="inlineStr">
        <is>
          <t>ECR-ranked; no dedicated situational research yet -- verify news/depth chart closer to draft time.</t>
        </is>
      </c>
    </row>
    <row r="275">
      <c r="A275" s="3" t="inlineStr"/>
      <c r="B275" s="3" t="n">
        <v>272</v>
      </c>
      <c r="C275" s="3" t="n">
        <v>10</v>
      </c>
      <c r="D275" s="3" t="inlineStr">
        <is>
          <t>Tier 10</t>
        </is>
      </c>
      <c r="E275" s="4" t="inlineStr">
        <is>
          <t>WR</t>
        </is>
      </c>
      <c r="F275" s="3" t="n">
        <v>95</v>
      </c>
      <c r="G275" s="3" t="n">
        <v>6</v>
      </c>
      <c r="H275" s="4" t="inlineStr">
        <is>
          <t>Caleb Douglas</t>
        </is>
      </c>
      <c r="I275" s="4" t="inlineStr">
        <is>
          <t>MIA</t>
        </is>
      </c>
      <c r="J275" s="3" t="n">
        <v>6</v>
      </c>
      <c r="K275" s="4" t="inlineStr"/>
      <c r="L275" s="13" t="inlineStr">
        <is>
          <t>Tough</t>
        </is>
      </c>
      <c r="M275" s="4" t="inlineStr"/>
      <c r="N275" s="3" t="n">
        <v>171.1</v>
      </c>
      <c r="O275" s="22" t="n">
        <v>-100.9</v>
      </c>
      <c r="P275" s="3" t="n">
        <v>-24.9</v>
      </c>
      <c r="Q275" s="4" t="inlineStr"/>
      <c r="R275" s="8" t="inlineStr">
        <is>
          <t>ECR-ranked; no dedicated situational research yet -- verify news/depth chart closer to draft time.</t>
        </is>
      </c>
    </row>
    <row r="276">
      <c r="A276" s="3" t="inlineStr"/>
      <c r="B276" s="3" t="n">
        <v>273</v>
      </c>
      <c r="C276" s="3" t="n">
        <v>10</v>
      </c>
      <c r="D276" s="3" t="inlineStr">
        <is>
          <t>Tier 10</t>
        </is>
      </c>
      <c r="E276" s="4" t="inlineStr">
        <is>
          <t>WR</t>
        </is>
      </c>
      <c r="F276" s="3" t="n">
        <v>92</v>
      </c>
      <c r="G276" s="3" t="n">
        <v>6</v>
      </c>
      <c r="H276" s="4" t="inlineStr">
        <is>
          <t>Elic Ayomanor</t>
        </is>
      </c>
      <c r="I276" s="4" t="inlineStr">
        <is>
          <t>TEN</t>
        </is>
      </c>
      <c r="J276" s="3" t="n">
        <v>9</v>
      </c>
      <c r="K276" s="4" t="inlineStr"/>
      <c r="L276" s="11" t="inlineStr">
        <is>
          <t>Neutral</t>
        </is>
      </c>
      <c r="M276" s="4" t="inlineStr"/>
      <c r="N276" s="3" t="n"/>
      <c r="O276" s="3" t="n"/>
      <c r="P276" s="3" t="n">
        <v>-25</v>
      </c>
      <c r="Q276" s="4" t="inlineStr"/>
      <c r="R276" s="8" t="inlineStr">
        <is>
          <t>ECR-ranked; no dedicated situational research yet -- verify news/depth chart closer to draft time.</t>
        </is>
      </c>
    </row>
    <row r="277">
      <c r="A277" s="3" t="inlineStr"/>
      <c r="B277" s="3" t="n">
        <v>274</v>
      </c>
      <c r="C277" s="3" t="n">
        <v>10</v>
      </c>
      <c r="D277" s="3" t="inlineStr">
        <is>
          <t>Tier 10</t>
        </is>
      </c>
      <c r="E277" s="4" t="inlineStr">
        <is>
          <t>TE</t>
        </is>
      </c>
      <c r="F277" s="3" t="n">
        <v>48</v>
      </c>
      <c r="G277" s="3" t="n">
        <v>6</v>
      </c>
      <c r="H277" s="4" t="inlineStr">
        <is>
          <t>Tyler Higbee</t>
        </is>
      </c>
      <c r="I277" s="4" t="inlineStr">
        <is>
          <t>LAR</t>
        </is>
      </c>
      <c r="J277" s="3" t="n">
        <v>11</v>
      </c>
      <c r="K277" s="4" t="inlineStr"/>
      <c r="L277" s="13" t="inlineStr">
        <is>
          <t>Tough</t>
        </is>
      </c>
      <c r="M277" s="4" t="inlineStr"/>
      <c r="N277" s="3" t="n"/>
      <c r="O277" s="3" t="n"/>
      <c r="P277" s="3" t="n">
        <v>-25</v>
      </c>
      <c r="Q277" s="4" t="inlineStr"/>
      <c r="R277" s="8" t="inlineStr">
        <is>
          <t>ECR-ranked; no dedicated situational research yet -- verify news/depth chart closer to draft time.</t>
        </is>
      </c>
    </row>
    <row r="278">
      <c r="A278" s="3" t="inlineStr"/>
      <c r="B278" s="3" t="n">
        <v>275</v>
      </c>
      <c r="C278" s="3" t="n">
        <v>10</v>
      </c>
      <c r="D278" s="3" t="inlineStr">
        <is>
          <t>Tier 10</t>
        </is>
      </c>
      <c r="E278" s="4" t="inlineStr">
        <is>
          <t>WR</t>
        </is>
      </c>
      <c r="F278" s="3" t="n">
        <v>93</v>
      </c>
      <c r="G278" s="3" t="n">
        <v>6</v>
      </c>
      <c r="H278" s="4" t="inlineStr">
        <is>
          <t>Tory Horton</t>
        </is>
      </c>
      <c r="I278" s="4" t="inlineStr">
        <is>
          <t>SEA</t>
        </is>
      </c>
      <c r="J278" s="3" t="n">
        <v>11</v>
      </c>
      <c r="K278" s="4" t="inlineStr"/>
      <c r="L278" s="11" t="inlineStr">
        <is>
          <t>Neutral</t>
        </is>
      </c>
      <c r="M278" s="4" t="inlineStr"/>
      <c r="N278" s="3" t="n">
        <v>175.1</v>
      </c>
      <c r="O278" s="22" t="n">
        <v>-99.90000000000001</v>
      </c>
      <c r="P278" s="3" t="n">
        <v>-25</v>
      </c>
      <c r="Q278" s="4" t="inlineStr"/>
      <c r="R278" s="8" t="inlineStr">
        <is>
          <t>ECR-ranked; no dedicated situational research yet -- verify news/depth chart closer to draft time.</t>
        </is>
      </c>
    </row>
    <row r="279">
      <c r="A279" s="3" t="inlineStr"/>
      <c r="B279" s="3" t="n">
        <v>276</v>
      </c>
      <c r="C279" s="3" t="n">
        <v>10</v>
      </c>
      <c r="D279" s="3" t="inlineStr">
        <is>
          <t>Tier 10</t>
        </is>
      </c>
      <c r="E279" s="4" t="inlineStr">
        <is>
          <t>WR</t>
        </is>
      </c>
      <c r="F279" s="3" t="n">
        <v>90</v>
      </c>
      <c r="G279" s="3" t="n">
        <v>6</v>
      </c>
      <c r="H279" s="4" t="inlineStr">
        <is>
          <t>Antonio Williams</t>
        </is>
      </c>
      <c r="I279" s="4" t="inlineStr">
        <is>
          <t>WAS</t>
        </is>
      </c>
      <c r="J279" s="3" t="n">
        <v>7</v>
      </c>
      <c r="K279" s="4" t="inlineStr"/>
      <c r="L279" s="17" t="inlineStr">
        <is>
          <t>Soft</t>
        </is>
      </c>
      <c r="M279" s="4" t="inlineStr"/>
      <c r="N279" s="3" t="n">
        <v>174.4</v>
      </c>
      <c r="O279" s="22" t="n">
        <v>-101.6</v>
      </c>
      <c r="P279" s="3" t="n">
        <v>-25.1</v>
      </c>
      <c r="Q279" s="4" t="inlineStr"/>
      <c r="R279" s="8" t="inlineStr">
        <is>
          <t>ECR-ranked; no dedicated situational research yet -- verify news/depth chart closer to draft time.</t>
        </is>
      </c>
    </row>
    <row r="280">
      <c r="A280" s="3" t="inlineStr"/>
      <c r="B280" s="3" t="n">
        <v>277</v>
      </c>
      <c r="C280" s="3" t="n">
        <v>10</v>
      </c>
      <c r="D280" s="3" t="inlineStr">
        <is>
          <t>Tier 10</t>
        </is>
      </c>
      <c r="E280" s="4" t="inlineStr">
        <is>
          <t>TE</t>
        </is>
      </c>
      <c r="F280" s="3" t="n">
        <v>44</v>
      </c>
      <c r="G280" s="3" t="n">
        <v>6</v>
      </c>
      <c r="H280" s="4" t="inlineStr">
        <is>
          <t>Erick All Jr.</t>
        </is>
      </c>
      <c r="I280" s="4" t="inlineStr">
        <is>
          <t>CIN</t>
        </is>
      </c>
      <c r="J280" s="3" t="n">
        <v>6</v>
      </c>
      <c r="K280" s="4" t="inlineStr"/>
      <c r="L280" s="5" t="inlineStr">
        <is>
          <t>Very Soft</t>
        </is>
      </c>
      <c r="M280" s="4" t="inlineStr"/>
      <c r="N280" s="3" t="n"/>
      <c r="O280" s="3" t="n"/>
      <c r="P280" s="3" t="n">
        <v>-25.1</v>
      </c>
      <c r="Q280" s="4" t="inlineStr"/>
      <c r="R280" s="8" t="inlineStr">
        <is>
          <t>ECR-ranked; no dedicated situational research yet -- verify news/depth chart closer to draft time.</t>
        </is>
      </c>
    </row>
    <row r="281">
      <c r="A281" s="3" t="inlineStr"/>
      <c r="B281" s="3" t="n">
        <v>278</v>
      </c>
      <c r="C281" s="3" t="n">
        <v>10</v>
      </c>
      <c r="D281" s="3" t="inlineStr">
        <is>
          <t>Tier 10</t>
        </is>
      </c>
      <c r="E281" s="4" t="inlineStr">
        <is>
          <t>RB</t>
        </is>
      </c>
      <c r="F281" s="3" t="n">
        <v>98</v>
      </c>
      <c r="G281" s="3" t="n">
        <v>6</v>
      </c>
      <c r="H281" s="4" t="inlineStr">
        <is>
          <t>Will Shipley</t>
        </is>
      </c>
      <c r="I281" s="4" t="inlineStr">
        <is>
          <t>PHI</t>
        </is>
      </c>
      <c r="J281" s="3" t="n">
        <v>10</v>
      </c>
      <c r="K281" s="4" t="inlineStr"/>
      <c r="L281" s="5" t="inlineStr">
        <is>
          <t>Very Soft</t>
        </is>
      </c>
      <c r="M281" s="4" t="inlineStr"/>
      <c r="N281" s="3" t="n"/>
      <c r="O281" s="3" t="n"/>
      <c r="P281" s="3" t="n">
        <v>-25.1</v>
      </c>
      <c r="Q281" s="4" t="inlineStr"/>
      <c r="R281" s="8" t="inlineStr">
        <is>
          <t>ECR-ranked; no dedicated situational research yet -- verify news/depth chart closer to draft time.</t>
        </is>
      </c>
    </row>
    <row r="282">
      <c r="A282" s="3" t="inlineStr"/>
      <c r="B282" s="3" t="n">
        <v>279</v>
      </c>
      <c r="C282" s="3" t="n">
        <v>10</v>
      </c>
      <c r="D282" s="3" t="inlineStr">
        <is>
          <t>Tier 10</t>
        </is>
      </c>
      <c r="E282" s="4" t="inlineStr">
        <is>
          <t>WR</t>
        </is>
      </c>
      <c r="F282" s="3" t="n">
        <v>94</v>
      </c>
      <c r="G282" s="3" t="n">
        <v>6</v>
      </c>
      <c r="H282" s="4" t="inlineStr">
        <is>
          <t>Tyquan Thornton</t>
        </is>
      </c>
      <c r="I282" s="4" t="inlineStr">
        <is>
          <t>KC</t>
        </is>
      </c>
      <c r="J282" s="3" t="n">
        <v>5</v>
      </c>
      <c r="K282" s="4" t="inlineStr"/>
      <c r="L282" s="11" t="inlineStr">
        <is>
          <t>Neutral</t>
        </is>
      </c>
      <c r="M282" s="4" t="inlineStr"/>
      <c r="N282" s="3" t="n"/>
      <c r="O282" s="3" t="n"/>
      <c r="P282" s="3" t="n">
        <v>-25.4</v>
      </c>
      <c r="Q282" s="4" t="inlineStr"/>
      <c r="R282" s="8" t="inlineStr">
        <is>
          <t>ECR-ranked; no dedicated situational research yet -- verify news/depth chart closer to draft time.</t>
        </is>
      </c>
    </row>
    <row r="283">
      <c r="A283" s="3" t="inlineStr"/>
      <c r="B283" s="3" t="n">
        <v>280</v>
      </c>
      <c r="C283" s="3" t="n">
        <v>10</v>
      </c>
      <c r="D283" s="3" t="inlineStr">
        <is>
          <t>Tier 10</t>
        </is>
      </c>
      <c r="E283" s="4" t="inlineStr">
        <is>
          <t>RB</t>
        </is>
      </c>
      <c r="F283" s="3" t="n">
        <v>102</v>
      </c>
      <c r="G283" s="3" t="n">
        <v>6</v>
      </c>
      <c r="H283" s="4" t="inlineStr">
        <is>
          <t>Eli Heidenreich</t>
        </is>
      </c>
      <c r="I283" s="4" t="inlineStr">
        <is>
          <t>PIT</t>
        </is>
      </c>
      <c r="J283" s="3" t="n">
        <v>9</v>
      </c>
      <c r="K283" s="4" t="inlineStr"/>
      <c r="L283" s="17" t="inlineStr">
        <is>
          <t>Soft</t>
        </is>
      </c>
      <c r="M283" s="4" t="inlineStr"/>
      <c r="N283" s="3" t="n"/>
      <c r="O283" s="3" t="n"/>
      <c r="P283" s="3" t="n">
        <v>-25.5</v>
      </c>
      <c r="Q283" s="4" t="inlineStr"/>
      <c r="R283" s="8" t="inlineStr">
        <is>
          <t>ECR-ranked; no dedicated situational research yet -- verify news/depth chart closer to draft time.</t>
        </is>
      </c>
    </row>
    <row r="284">
      <c r="A284" s="3" t="inlineStr"/>
      <c r="B284" s="3" t="n">
        <v>281</v>
      </c>
      <c r="C284" s="3" t="n">
        <v>10</v>
      </c>
      <c r="D284" s="3" t="inlineStr">
        <is>
          <t>Tier 10</t>
        </is>
      </c>
      <c r="E284" s="4" t="inlineStr">
        <is>
          <t>TE</t>
        </is>
      </c>
      <c r="F284" s="3" t="n">
        <v>50</v>
      </c>
      <c r="G284" s="3" t="n">
        <v>6</v>
      </c>
      <c r="H284" s="4" t="inlineStr">
        <is>
          <t>Max Klare</t>
        </is>
      </c>
      <c r="I284" s="4" t="inlineStr">
        <is>
          <t>LAR</t>
        </is>
      </c>
      <c r="J284" s="3" t="n">
        <v>11</v>
      </c>
      <c r="K284" s="4" t="inlineStr"/>
      <c r="L284" s="13" t="inlineStr">
        <is>
          <t>Tough</t>
        </is>
      </c>
      <c r="M284" s="4" t="inlineStr"/>
      <c r="N284" s="3" t="n"/>
      <c r="O284" s="3" t="n"/>
      <c r="P284" s="3" t="n">
        <v>-25.6</v>
      </c>
      <c r="Q284" s="4" t="inlineStr"/>
      <c r="R284" s="8" t="inlineStr">
        <is>
          <t>ECR-ranked; no dedicated situational research yet -- verify news/depth chart closer to draft time.</t>
        </is>
      </c>
    </row>
    <row r="285">
      <c r="A285" s="3" t="inlineStr"/>
      <c r="B285" s="3" t="n">
        <v>282</v>
      </c>
      <c r="C285" s="3" t="n">
        <v>10</v>
      </c>
      <c r="D285" s="3" t="inlineStr">
        <is>
          <t>Tier 10</t>
        </is>
      </c>
      <c r="E285" s="4" t="inlineStr">
        <is>
          <t>WR</t>
        </is>
      </c>
      <c r="F285" s="3" t="n">
        <v>96</v>
      </c>
      <c r="G285" s="3" t="n">
        <v>6</v>
      </c>
      <c r="H285" s="4" t="inlineStr">
        <is>
          <t>Chimere Dike</t>
        </is>
      </c>
      <c r="I285" s="4" t="inlineStr">
        <is>
          <t>TEN</t>
        </is>
      </c>
      <c r="J285" s="3" t="n">
        <v>9</v>
      </c>
      <c r="K285" s="4" t="inlineStr"/>
      <c r="L285" s="11" t="inlineStr">
        <is>
          <t>Neutral</t>
        </is>
      </c>
      <c r="M285" s="4" t="inlineStr"/>
      <c r="N285" s="3" t="n">
        <v>179.7</v>
      </c>
      <c r="O285" s="22" t="n">
        <v>-102.3</v>
      </c>
      <c r="P285" s="3" t="n">
        <v>-25.9</v>
      </c>
      <c r="Q285" s="4" t="inlineStr"/>
      <c r="R285" s="8" t="inlineStr">
        <is>
          <t>ECR-ranked; no dedicated situational research yet -- verify news/depth chart closer to draft time.</t>
        </is>
      </c>
    </row>
    <row r="286">
      <c r="A286" s="3" t="inlineStr"/>
      <c r="B286" s="3" t="n">
        <v>283</v>
      </c>
      <c r="C286" s="3" t="n">
        <v>10</v>
      </c>
      <c r="D286" s="3" t="inlineStr">
        <is>
          <t>Tier 10</t>
        </is>
      </c>
      <c r="E286" s="4" t="inlineStr">
        <is>
          <t>WR</t>
        </is>
      </c>
      <c r="F286" s="3" t="n">
        <v>99</v>
      </c>
      <c r="G286" s="3" t="n">
        <v>6</v>
      </c>
      <c r="H286" s="4" t="inlineStr">
        <is>
          <t>Xavier Legette</t>
        </is>
      </c>
      <c r="I286" s="4" t="inlineStr">
        <is>
          <t>CAR</t>
        </is>
      </c>
      <c r="J286" s="3" t="n">
        <v>5</v>
      </c>
      <c r="K286" s="4" t="inlineStr"/>
      <c r="L286" s="13" t="inlineStr">
        <is>
          <t>Tough</t>
        </is>
      </c>
      <c r="M286" s="4" t="inlineStr"/>
      <c r="N286" s="3" t="n"/>
      <c r="O286" s="3" t="n"/>
      <c r="P286" s="3" t="n">
        <v>-25.9</v>
      </c>
      <c r="Q286" s="4" t="inlineStr"/>
      <c r="R286" s="8" t="inlineStr">
        <is>
          <t>ECR-ranked; no dedicated situational research yet -- verify news/depth chart closer to draft time.</t>
        </is>
      </c>
    </row>
    <row r="287">
      <c r="A287" s="3" t="inlineStr"/>
      <c r="B287" s="3" t="n">
        <v>284</v>
      </c>
      <c r="C287" s="3" t="n">
        <v>10</v>
      </c>
      <c r="D287" s="3" t="inlineStr">
        <is>
          <t>Tier 10</t>
        </is>
      </c>
      <c r="E287" s="4" t="inlineStr">
        <is>
          <t>RB</t>
        </is>
      </c>
      <c r="F287" s="3" t="n">
        <v>103</v>
      </c>
      <c r="G287" s="3" t="n">
        <v>6</v>
      </c>
      <c r="H287" s="4" t="inlineStr">
        <is>
          <t>Jawhar Jordan</t>
        </is>
      </c>
      <c r="I287" s="4" t="inlineStr">
        <is>
          <t>HOU</t>
        </is>
      </c>
      <c r="J287" s="3" t="n">
        <v>8</v>
      </c>
      <c r="K287" s="4" t="inlineStr"/>
      <c r="L287" s="5" t="inlineStr">
        <is>
          <t>Very Soft</t>
        </is>
      </c>
      <c r="M287" s="4" t="inlineStr"/>
      <c r="N287" s="3" t="n"/>
      <c r="O287" s="3" t="n"/>
      <c r="P287" s="3" t="n">
        <v>-26</v>
      </c>
      <c r="Q287" s="4" t="inlineStr"/>
      <c r="R287" s="8" t="inlineStr">
        <is>
          <t>ECR-ranked; no dedicated situational research yet -- verify news/depth chart closer to draft time.</t>
        </is>
      </c>
    </row>
    <row r="288">
      <c r="A288" s="3" t="inlineStr"/>
      <c r="B288" s="3" t="n">
        <v>285</v>
      </c>
      <c r="C288" s="3" t="n">
        <v>10</v>
      </c>
      <c r="D288" s="3" t="inlineStr">
        <is>
          <t>Tier 10</t>
        </is>
      </c>
      <c r="E288" s="4" t="inlineStr">
        <is>
          <t>TE</t>
        </is>
      </c>
      <c r="F288" s="3" t="n">
        <v>51</v>
      </c>
      <c r="G288" s="3" t="n">
        <v>6</v>
      </c>
      <c r="H288" s="4" t="inlineStr">
        <is>
          <t>Ja'Tavion Sanders</t>
        </is>
      </c>
      <c r="I288" s="4" t="inlineStr">
        <is>
          <t>CAR</t>
        </is>
      </c>
      <c r="J288" s="3" t="n">
        <v>5</v>
      </c>
      <c r="K288" s="4" t="inlineStr"/>
      <c r="L288" s="13" t="inlineStr">
        <is>
          <t>Tough</t>
        </is>
      </c>
      <c r="M288" s="4" t="inlineStr"/>
      <c r="N288" s="3" t="n"/>
      <c r="O288" s="3" t="n"/>
      <c r="P288" s="3" t="n">
        <v>-26</v>
      </c>
      <c r="Q288" s="4" t="inlineStr"/>
      <c r="R288" s="8" t="inlineStr">
        <is>
          <t>ECR-ranked; no dedicated situational research yet -- verify news/depth chart closer to draft time.</t>
        </is>
      </c>
    </row>
    <row r="289">
      <c r="A289" s="3" t="inlineStr"/>
      <c r="B289" s="3" t="n">
        <v>286</v>
      </c>
      <c r="C289" s="3" t="n">
        <v>10</v>
      </c>
      <c r="D289" s="3" t="inlineStr">
        <is>
          <t>Tier 10</t>
        </is>
      </c>
      <c r="E289" s="4" t="inlineStr">
        <is>
          <t>TE</t>
        </is>
      </c>
      <c r="F289" s="3" t="n">
        <v>49</v>
      </c>
      <c r="G289" s="3" t="n">
        <v>6</v>
      </c>
      <c r="H289" s="4" t="inlineStr">
        <is>
          <t>Noah Gray</t>
        </is>
      </c>
      <c r="I289" s="4" t="inlineStr">
        <is>
          <t>KC</t>
        </is>
      </c>
      <c r="J289" s="3" t="n">
        <v>5</v>
      </c>
      <c r="K289" s="4" t="inlineStr"/>
      <c r="L289" s="11" t="inlineStr">
        <is>
          <t>Neutral</t>
        </is>
      </c>
      <c r="M289" s="4" t="inlineStr"/>
      <c r="N289" s="3" t="n"/>
      <c r="O289" s="3" t="n"/>
      <c r="P289" s="3" t="n">
        <v>-26</v>
      </c>
      <c r="Q289" s="4" t="inlineStr"/>
      <c r="R289" s="8" t="inlineStr">
        <is>
          <t>ECR-ranked; no dedicated situational research yet -- verify news/depth chart closer to draft time.</t>
        </is>
      </c>
    </row>
    <row r="290">
      <c r="A290" s="3" t="inlineStr"/>
      <c r="B290" s="3" t="n">
        <v>287</v>
      </c>
      <c r="C290" s="3" t="n">
        <v>10</v>
      </c>
      <c r="D290" s="3" t="inlineStr">
        <is>
          <t>Tier 10</t>
        </is>
      </c>
      <c r="E290" s="4" t="inlineStr">
        <is>
          <t>RB</t>
        </is>
      </c>
      <c r="F290" s="3" t="n">
        <v>104</v>
      </c>
      <c r="G290" s="3" t="n">
        <v>6</v>
      </c>
      <c r="H290" s="4" t="inlineStr">
        <is>
          <t>Michael Carter</t>
        </is>
      </c>
      <c r="I290" s="4" t="inlineStr">
        <is>
          <t>TEN</t>
        </is>
      </c>
      <c r="J290" s="3" t="n">
        <v>9</v>
      </c>
      <c r="K290" s="4" t="inlineStr"/>
      <c r="L290" s="5" t="inlineStr">
        <is>
          <t>Very Soft</t>
        </is>
      </c>
      <c r="M290" s="4" t="inlineStr"/>
      <c r="N290" s="3" t="n"/>
      <c r="O290" s="3" t="n"/>
      <c r="P290" s="3" t="n">
        <v>-26.3</v>
      </c>
      <c r="Q290" s="4" t="inlineStr"/>
      <c r="R290" s="8" t="inlineStr">
        <is>
          <t>ECR-ranked; no dedicated situational research yet -- verify news/depth chart closer to draft time.</t>
        </is>
      </c>
    </row>
    <row r="291">
      <c r="A291" s="3" t="inlineStr"/>
      <c r="B291" s="3" t="n">
        <v>288</v>
      </c>
      <c r="C291" s="3" t="n">
        <v>10</v>
      </c>
      <c r="D291" s="3" t="inlineStr">
        <is>
          <t>Tier 10</t>
        </is>
      </c>
      <c r="E291" s="4" t="inlineStr">
        <is>
          <t>WR</t>
        </is>
      </c>
      <c r="F291" s="3" t="n">
        <v>107</v>
      </c>
      <c r="G291" s="3" t="n">
        <v>6</v>
      </c>
      <c r="H291" s="4" t="inlineStr">
        <is>
          <t>Skyler Bell</t>
        </is>
      </c>
      <c r="I291" s="4" t="inlineStr">
        <is>
          <t>BUF</t>
        </is>
      </c>
      <c r="J291" s="3" t="n">
        <v>7</v>
      </c>
      <c r="K291" s="4" t="inlineStr"/>
      <c r="L291" s="9" t="inlineStr">
        <is>
          <t>Gauntlet</t>
        </is>
      </c>
      <c r="M291" s="4" t="inlineStr"/>
      <c r="N291" s="3" t="n"/>
      <c r="O291" s="3" t="n"/>
      <c r="P291" s="3" t="n">
        <v>-26.6</v>
      </c>
      <c r="Q291" s="4" t="inlineStr"/>
      <c r="R291" s="8" t="inlineStr">
        <is>
          <t>ECR-ranked; no dedicated situational research yet -- verify news/depth chart closer to draft time.</t>
        </is>
      </c>
    </row>
    <row r="292">
      <c r="A292" s="3" t="inlineStr"/>
      <c r="B292" s="3" t="n">
        <v>289</v>
      </c>
      <c r="C292" s="3" t="n">
        <v>10</v>
      </c>
      <c r="D292" s="3" t="inlineStr">
        <is>
          <t>Tier 10</t>
        </is>
      </c>
      <c r="E292" s="4" t="inlineStr">
        <is>
          <t>QB</t>
        </is>
      </c>
      <c r="F292" s="3" t="n">
        <v>36</v>
      </c>
      <c r="G292" s="3" t="n">
        <v>6</v>
      </c>
      <c r="H292" s="4" t="inlineStr">
        <is>
          <t>Carson Beck</t>
        </is>
      </c>
      <c r="I292" s="4" t="inlineStr">
        <is>
          <t>ARI</t>
        </is>
      </c>
      <c r="J292" s="3" t="n">
        <v>14</v>
      </c>
      <c r="K292" s="4" t="inlineStr"/>
      <c r="L292" s="13" t="inlineStr">
        <is>
          <t>Tough</t>
        </is>
      </c>
      <c r="M292" s="6" t="inlineStr">
        <is>
          <t>Superflex Depth</t>
        </is>
      </c>
      <c r="N292" s="3" t="n">
        <v>177</v>
      </c>
      <c r="O292" s="22" t="n">
        <v>-112</v>
      </c>
      <c r="P292" s="3" t="n">
        <v>-26.9</v>
      </c>
      <c r="Q292" s="4" t="inlineStr"/>
      <c r="R292" s="8" t="inlineStr">
        <is>
          <t>ECR-ranked; no dedicated situational research yet -- verify news/depth chart closer to draft time.</t>
        </is>
      </c>
    </row>
    <row r="293">
      <c r="A293" s="3" t="inlineStr"/>
      <c r="B293" s="3" t="n">
        <v>290</v>
      </c>
      <c r="C293" s="3" t="n">
        <v>10</v>
      </c>
      <c r="D293" s="3" t="inlineStr">
        <is>
          <t>Tier 10</t>
        </is>
      </c>
      <c r="E293" s="4" t="inlineStr">
        <is>
          <t>WR</t>
        </is>
      </c>
      <c r="F293" s="3" t="n">
        <v>103</v>
      </c>
      <c r="G293" s="3" t="n">
        <v>6</v>
      </c>
      <c r="H293" s="4" t="inlineStr">
        <is>
          <t>Kyle Williams</t>
        </is>
      </c>
      <c r="I293" s="4" t="inlineStr">
        <is>
          <t>NE</t>
        </is>
      </c>
      <c r="J293" s="3" t="n">
        <v>11</v>
      </c>
      <c r="K293" s="4" t="inlineStr"/>
      <c r="L293" s="11" t="inlineStr">
        <is>
          <t>Neutral</t>
        </is>
      </c>
      <c r="M293" s="4" t="inlineStr"/>
      <c r="N293" s="3" t="n"/>
      <c r="O293" s="3" t="n"/>
      <c r="P293" s="3" t="n">
        <v>-27</v>
      </c>
      <c r="Q293" s="4" t="inlineStr"/>
      <c r="R293" s="8" t="inlineStr">
        <is>
          <t>ECR-ranked; no dedicated situational research yet -- verify news/depth chart closer to draft time.</t>
        </is>
      </c>
    </row>
    <row r="294">
      <c r="A294" s="3" t="inlineStr"/>
      <c r="B294" s="3" t="n">
        <v>291</v>
      </c>
      <c r="C294" s="3" t="n">
        <v>10</v>
      </c>
      <c r="D294" s="3" t="inlineStr">
        <is>
          <t>Tier 10</t>
        </is>
      </c>
      <c r="E294" s="4" t="inlineStr">
        <is>
          <t>WR</t>
        </is>
      </c>
      <c r="F294" s="3" t="n">
        <v>102</v>
      </c>
      <c r="G294" s="3" t="n">
        <v>6</v>
      </c>
      <c r="H294" s="4" t="inlineStr">
        <is>
          <t>Cyrus Allen</t>
        </is>
      </c>
      <c r="I294" s="4" t="inlineStr">
        <is>
          <t>KC</t>
        </is>
      </c>
      <c r="J294" s="3" t="n">
        <v>5</v>
      </c>
      <c r="K294" s="4" t="inlineStr"/>
      <c r="L294" s="11" t="inlineStr">
        <is>
          <t>Neutral</t>
        </is>
      </c>
      <c r="M294" s="4" t="inlineStr"/>
      <c r="N294" s="3" t="n">
        <v>165.9</v>
      </c>
      <c r="O294" s="22" t="n">
        <v>-125.1</v>
      </c>
      <c r="P294" s="3" t="n">
        <v>-27</v>
      </c>
      <c r="Q294" s="4" t="inlineStr"/>
      <c r="R294" s="8" t="inlineStr">
        <is>
          <t>ECR-ranked; no dedicated situational research yet -- verify news/depth chart closer to draft time.</t>
        </is>
      </c>
    </row>
    <row r="295">
      <c r="A295" s="3" t="inlineStr"/>
      <c r="B295" s="3" t="n">
        <v>292</v>
      </c>
      <c r="C295" s="3" t="n">
        <v>10</v>
      </c>
      <c r="D295" s="3" t="inlineStr">
        <is>
          <t>Tier 10</t>
        </is>
      </c>
      <c r="E295" s="4" t="inlineStr">
        <is>
          <t>WR</t>
        </is>
      </c>
      <c r="F295" s="3" t="n">
        <v>97</v>
      </c>
      <c r="G295" s="3" t="n">
        <v>6</v>
      </c>
      <c r="H295" s="4" t="inlineStr">
        <is>
          <t>Darius Slayton</t>
        </is>
      </c>
      <c r="I295" s="4" t="inlineStr">
        <is>
          <t>NYG</t>
        </is>
      </c>
      <c r="J295" s="3" t="n">
        <v>8</v>
      </c>
      <c r="K295" s="4" t="inlineStr"/>
      <c r="L295" s="5" t="inlineStr">
        <is>
          <t>Very Soft</t>
        </is>
      </c>
      <c r="M295" s="4" t="inlineStr"/>
      <c r="N295" s="3" t="n"/>
      <c r="O295" s="3" t="n"/>
      <c r="P295" s="3" t="n">
        <v>-27.2</v>
      </c>
      <c r="Q295" s="4" t="inlineStr"/>
      <c r="R295" s="8" t="inlineStr">
        <is>
          <t>ECR-ranked; no dedicated situational research yet -- verify news/depth chart closer to draft time.</t>
        </is>
      </c>
    </row>
    <row r="296">
      <c r="A296" s="3" t="inlineStr"/>
      <c r="B296" s="3" t="n">
        <v>293</v>
      </c>
      <c r="C296" s="3" t="n">
        <v>10</v>
      </c>
      <c r="D296" s="3" t="inlineStr">
        <is>
          <t>Tier 10</t>
        </is>
      </c>
      <c r="E296" s="4" t="inlineStr">
        <is>
          <t>TE</t>
        </is>
      </c>
      <c r="F296" s="3" t="n">
        <v>52</v>
      </c>
      <c r="G296" s="3" t="n">
        <v>6</v>
      </c>
      <c r="H296" s="4" t="inlineStr">
        <is>
          <t>Justin Joly</t>
        </is>
      </c>
      <c r="I296" s="4" t="inlineStr">
        <is>
          <t>DEN</t>
        </is>
      </c>
      <c r="J296" s="3" t="n">
        <v>10</v>
      </c>
      <c r="K296" s="4" t="inlineStr"/>
      <c r="L296" s="17" t="inlineStr">
        <is>
          <t>Soft</t>
        </is>
      </c>
      <c r="M296" s="4" t="inlineStr"/>
      <c r="N296" s="3" t="n"/>
      <c r="O296" s="3" t="n"/>
      <c r="P296" s="3" t="n">
        <v>-27.3</v>
      </c>
      <c r="Q296" s="4" t="inlineStr"/>
      <c r="R296" s="8" t="inlineStr">
        <is>
          <t>ECR-ranked; no dedicated situational research yet -- verify news/depth chart closer to draft time.</t>
        </is>
      </c>
    </row>
    <row r="297">
      <c r="A297" s="3" t="inlineStr"/>
      <c r="B297" s="3" t="n">
        <v>294</v>
      </c>
      <c r="C297" s="3" t="n">
        <v>10</v>
      </c>
      <c r="D297" s="3" t="inlineStr">
        <is>
          <t>Tier 10</t>
        </is>
      </c>
      <c r="E297" s="4" t="inlineStr">
        <is>
          <t>WR</t>
        </is>
      </c>
      <c r="F297" s="3" t="n">
        <v>105</v>
      </c>
      <c r="G297" s="3" t="n">
        <v>6</v>
      </c>
      <c r="H297" s="4" t="inlineStr">
        <is>
          <t>Mack Hollins</t>
        </is>
      </c>
      <c r="I297" s="4" t="inlineStr">
        <is>
          <t>NE</t>
        </is>
      </c>
      <c r="J297" s="3" t="n">
        <v>11</v>
      </c>
      <c r="K297" s="4" t="inlineStr"/>
      <c r="L297" s="11" t="inlineStr">
        <is>
          <t>Neutral</t>
        </is>
      </c>
      <c r="M297" s="4" t="inlineStr"/>
      <c r="N297" s="3" t="n"/>
      <c r="O297" s="3" t="n"/>
      <c r="P297" s="3" t="n">
        <v>-27.3</v>
      </c>
      <c r="Q297" s="4" t="inlineStr"/>
      <c r="R297" s="8" t="inlineStr">
        <is>
          <t>ECR-ranked; no dedicated situational research yet -- verify news/depth chart closer to draft time.</t>
        </is>
      </c>
    </row>
    <row r="298">
      <c r="A298" s="3" t="inlineStr"/>
      <c r="B298" s="3" t="n">
        <v>295</v>
      </c>
      <c r="C298" s="3" t="n">
        <v>10</v>
      </c>
      <c r="D298" s="3" t="inlineStr">
        <is>
          <t>Tier 10</t>
        </is>
      </c>
      <c r="E298" s="4" t="inlineStr">
        <is>
          <t>QB</t>
        </is>
      </c>
      <c r="F298" s="3" t="n">
        <v>35</v>
      </c>
      <c r="G298" s="3" t="n">
        <v>6</v>
      </c>
      <c r="H298" s="4" t="inlineStr">
        <is>
          <t>Shedeur Sanders</t>
        </is>
      </c>
      <c r="I298" s="4" t="inlineStr">
        <is>
          <t>CLE</t>
        </is>
      </c>
      <c r="J298" s="3" t="n">
        <v>11</v>
      </c>
      <c r="K298" s="4" t="inlineStr"/>
      <c r="L298" s="5" t="inlineStr">
        <is>
          <t>Very Soft</t>
        </is>
      </c>
      <c r="M298" s="6" t="inlineStr">
        <is>
          <t>Superflex Depth</t>
        </is>
      </c>
      <c r="N298" s="3" t="n">
        <v>169.1</v>
      </c>
      <c r="O298" s="22" t="n">
        <v>-125.9</v>
      </c>
      <c r="P298" s="3" t="n">
        <v>-27.4</v>
      </c>
      <c r="Q298" s="4" t="inlineStr"/>
      <c r="R298" s="8" t="inlineStr">
        <is>
          <t>ECR-ranked; no dedicated situational research yet -- verify news/depth chart closer to draft time.</t>
        </is>
      </c>
    </row>
    <row r="299">
      <c r="A299" s="3" t="inlineStr"/>
      <c r="B299" s="3" t="n">
        <v>296</v>
      </c>
      <c r="C299" s="3" t="n">
        <v>10</v>
      </c>
      <c r="D299" s="3" t="inlineStr">
        <is>
          <t>Tier 10</t>
        </is>
      </c>
      <c r="E299" s="4" t="inlineStr">
        <is>
          <t>QB</t>
        </is>
      </c>
      <c r="F299" s="3" t="n">
        <v>34</v>
      </c>
      <c r="G299" s="3" t="n">
        <v>6</v>
      </c>
      <c r="H299" s="4" t="inlineStr">
        <is>
          <t>Deshaun Watson</t>
        </is>
      </c>
      <c r="I299" s="4" t="inlineStr">
        <is>
          <t>CLE</t>
        </is>
      </c>
      <c r="J299" s="3" t="n">
        <v>11</v>
      </c>
      <c r="K299" s="12" t="inlineStr">
        <is>
          <t>YES</t>
        </is>
      </c>
      <c r="L299" s="5" t="inlineStr">
        <is>
          <t>Very Soft</t>
        </is>
      </c>
      <c r="M299" s="6" t="inlineStr">
        <is>
          <t>Superflex Depth</t>
        </is>
      </c>
      <c r="N299" s="3" t="n">
        <v>165.5</v>
      </c>
      <c r="O299" s="22" t="n">
        <v>-130.5</v>
      </c>
      <c r="P299" s="3" t="n">
        <v>-27.4</v>
      </c>
      <c r="Q299" s="21" t="inlineStr">
        <is>
          <t>DEPTH</t>
        </is>
      </c>
      <c r="R299" s="8" t="inlineStr">
        <is>
          <t>Contract year; Cleveland's QB1, name value only</t>
        </is>
      </c>
    </row>
    <row r="300">
      <c r="A300" s="3" t="inlineStr"/>
      <c r="B300" s="3" t="n">
        <v>297</v>
      </c>
      <c r="C300" s="3" t="n">
        <v>10</v>
      </c>
      <c r="D300" s="3" t="inlineStr">
        <is>
          <t>Tier 10</t>
        </is>
      </c>
      <c r="E300" s="4" t="inlineStr">
        <is>
          <t>WR</t>
        </is>
      </c>
      <c r="F300" s="3" t="n">
        <v>98</v>
      </c>
      <c r="G300" s="3" t="n">
        <v>6</v>
      </c>
      <c r="H300" s="4" t="inlineStr">
        <is>
          <t>Christian Kirk</t>
        </is>
      </c>
      <c r="I300" s="4" t="inlineStr">
        <is>
          <t>SF</t>
        </is>
      </c>
      <c r="J300" s="3" t="n">
        <v>8</v>
      </c>
      <c r="K300" s="12" t="inlineStr">
        <is>
          <t>YES</t>
        </is>
      </c>
      <c r="L300" s="11" t="inlineStr">
        <is>
          <t>Neutral</t>
        </is>
      </c>
      <c r="M300" s="4" t="inlineStr"/>
      <c r="N300" s="3" t="n"/>
      <c r="O300" s="3" t="n"/>
      <c r="P300" s="3" t="n">
        <v>-27.5</v>
      </c>
      <c r="Q300" s="21" t="inlineStr">
        <is>
          <t>DEPTH</t>
        </is>
      </c>
      <c r="R300" s="8" t="inlineStr">
        <is>
          <t>Contract year; 49ers depth</t>
        </is>
      </c>
    </row>
    <row r="301">
      <c r="A301" s="3" t="inlineStr"/>
      <c r="B301" s="3" t="n">
        <v>298</v>
      </c>
      <c r="C301" s="3" t="n">
        <v>10</v>
      </c>
      <c r="D301" s="3" t="inlineStr">
        <is>
          <t>Tier 10</t>
        </is>
      </c>
      <c r="E301" s="4" t="inlineStr">
        <is>
          <t>WR</t>
        </is>
      </c>
      <c r="F301" s="3" t="n">
        <v>100</v>
      </c>
      <c r="G301" s="3" t="n">
        <v>6</v>
      </c>
      <c r="H301" s="4" t="inlineStr">
        <is>
          <t>Elijah Sarratt</t>
        </is>
      </c>
      <c r="I301" s="4" t="inlineStr">
        <is>
          <t>BAL</t>
        </is>
      </c>
      <c r="J301" s="3" t="n">
        <v>13</v>
      </c>
      <c r="K301" s="4" t="inlineStr"/>
      <c r="L301" s="5" t="inlineStr">
        <is>
          <t>Very Soft</t>
        </is>
      </c>
      <c r="M301" s="4" t="inlineStr"/>
      <c r="N301" s="3" t="n"/>
      <c r="O301" s="3" t="n"/>
      <c r="P301" s="3" t="n">
        <v>-27.6</v>
      </c>
      <c r="Q301" s="4" t="inlineStr"/>
      <c r="R301" s="8" t="inlineStr">
        <is>
          <t>ECR-ranked; no dedicated situational research yet -- verify news/depth chart closer to draft time.</t>
        </is>
      </c>
    </row>
    <row r="302">
      <c r="A302" s="3" t="inlineStr"/>
      <c r="B302" s="3" t="n">
        <v>299</v>
      </c>
      <c r="C302" s="3" t="n">
        <v>11</v>
      </c>
      <c r="D302" s="3" t="inlineStr">
        <is>
          <t>Tier 11</t>
        </is>
      </c>
      <c r="E302" s="4" t="inlineStr">
        <is>
          <t>WR</t>
        </is>
      </c>
      <c r="F302" s="3" t="n">
        <v>108</v>
      </c>
      <c r="G302" s="3" t="n">
        <v>6</v>
      </c>
      <c r="H302" s="4" t="inlineStr">
        <is>
          <t>Brandon Aiyuk</t>
        </is>
      </c>
      <c r="I302" s="4" t="inlineStr">
        <is>
          <t>SF</t>
        </is>
      </c>
      <c r="J302" s="3" t="n">
        <v>8</v>
      </c>
      <c r="K302" s="4" t="inlineStr"/>
      <c r="L302" s="11" t="inlineStr">
        <is>
          <t>Neutral</t>
        </is>
      </c>
      <c r="M302" s="4" t="inlineStr"/>
      <c r="N302" s="3" t="n"/>
      <c r="O302" s="3" t="n"/>
      <c r="P302" s="3" t="n">
        <v>-28</v>
      </c>
      <c r="Q302" s="4" t="inlineStr"/>
      <c r="R302" s="8" t="inlineStr">
        <is>
          <t>ECR-ranked; no dedicated situational research yet -- verify news/depth chart closer to draft time.</t>
        </is>
      </c>
    </row>
    <row r="303">
      <c r="A303" s="3" t="inlineStr"/>
      <c r="B303" s="3" t="n">
        <v>300</v>
      </c>
      <c r="C303" s="3" t="n">
        <v>11</v>
      </c>
      <c r="D303" s="3" t="inlineStr">
        <is>
          <t>Tier 11</t>
        </is>
      </c>
      <c r="E303" s="4" t="inlineStr">
        <is>
          <t>WR</t>
        </is>
      </c>
      <c r="F303" s="3" t="n">
        <v>111</v>
      </c>
      <c r="G303" s="3" t="n">
        <v>6</v>
      </c>
      <c r="H303" s="4" t="inlineStr">
        <is>
          <t>Jahan Dotson</t>
        </is>
      </c>
      <c r="I303" s="4" t="inlineStr">
        <is>
          <t>ATL</t>
        </is>
      </c>
      <c r="J303" s="3" t="n">
        <v>11</v>
      </c>
      <c r="K303" s="4" t="inlineStr"/>
      <c r="L303" s="11" t="inlineStr">
        <is>
          <t>Neutral</t>
        </is>
      </c>
      <c r="M303" s="4" t="inlineStr"/>
      <c r="N303" s="3" t="n"/>
      <c r="O303" s="3" t="n"/>
      <c r="P303" s="3" t="n">
        <v>-28.3</v>
      </c>
      <c r="Q303" s="4" t="inlineStr"/>
      <c r="R303" s="8" t="inlineStr">
        <is>
          <t>ECR-ranked; no dedicated situational research yet -- verify news/depth chart closer to draft time.</t>
        </is>
      </c>
    </row>
    <row r="304">
      <c r="A304" s="3" t="inlineStr"/>
      <c r="B304" s="3" t="n">
        <v>301</v>
      </c>
      <c r="C304" s="3" t="n">
        <v>11</v>
      </c>
      <c r="D304" s="3" t="inlineStr">
        <is>
          <t>Tier 11</t>
        </is>
      </c>
      <c r="E304" s="4" t="inlineStr">
        <is>
          <t>WR</t>
        </is>
      </c>
      <c r="F304" s="3" t="n">
        <v>116</v>
      </c>
      <c r="G304" s="3" t="n">
        <v>6</v>
      </c>
      <c r="H304" s="4" t="inlineStr">
        <is>
          <t>Brenen Thompson</t>
        </is>
      </c>
      <c r="I304" s="4" t="inlineStr">
        <is>
          <t>LAC</t>
        </is>
      </c>
      <c r="J304" s="3" t="n">
        <v>7</v>
      </c>
      <c r="K304" s="4" t="inlineStr"/>
      <c r="L304" s="13" t="inlineStr">
        <is>
          <t>Tough</t>
        </is>
      </c>
      <c r="M304" s="4" t="inlineStr"/>
      <c r="N304" s="3" t="n"/>
      <c r="O304" s="3" t="n"/>
      <c r="P304" s="3" t="n">
        <v>-28.4</v>
      </c>
      <c r="Q304" s="4" t="inlineStr"/>
      <c r="R304" s="8" t="inlineStr">
        <is>
          <t>ECR-ranked; no dedicated situational research yet -- verify news/depth chart closer to draft time.</t>
        </is>
      </c>
    </row>
    <row r="305">
      <c r="A305" s="3" t="inlineStr"/>
      <c r="B305" s="3" t="n">
        <v>302</v>
      </c>
      <c r="C305" s="3" t="n">
        <v>11</v>
      </c>
      <c r="D305" s="3" t="inlineStr">
        <is>
          <t>Tier 11</t>
        </is>
      </c>
      <c r="E305" s="4" t="inlineStr">
        <is>
          <t>WR</t>
        </is>
      </c>
      <c r="F305" s="3" t="n">
        <v>104</v>
      </c>
      <c r="G305" s="3" t="n">
        <v>6</v>
      </c>
      <c r="H305" s="4" t="inlineStr">
        <is>
          <t>Hollywood Brown</t>
        </is>
      </c>
      <c r="I305" s="4" t="inlineStr">
        <is>
          <t>PHI</t>
        </is>
      </c>
      <c r="J305" s="3" t="n">
        <v>10</v>
      </c>
      <c r="K305" s="4" t="inlineStr"/>
      <c r="L305" s="5" t="inlineStr">
        <is>
          <t>Very Soft</t>
        </is>
      </c>
      <c r="M305" s="4" t="inlineStr"/>
      <c r="N305" s="3" t="n"/>
      <c r="O305" s="3" t="n"/>
      <c r="P305" s="3" t="n">
        <v>-28.5</v>
      </c>
      <c r="Q305" s="4" t="inlineStr"/>
      <c r="R305" s="8" t="inlineStr">
        <is>
          <t>ECR-ranked; no dedicated situational research yet -- verify news/depth chart closer to draft time.</t>
        </is>
      </c>
    </row>
    <row r="306">
      <c r="A306" s="3" t="inlineStr"/>
      <c r="B306" s="3" t="n">
        <v>303</v>
      </c>
      <c r="C306" s="3" t="n">
        <v>11</v>
      </c>
      <c r="D306" s="3" t="inlineStr">
        <is>
          <t>Tier 11</t>
        </is>
      </c>
      <c r="E306" s="4" t="inlineStr">
        <is>
          <t>WR</t>
        </is>
      </c>
      <c r="F306" s="3" t="n">
        <v>119</v>
      </c>
      <c r="G306" s="3" t="n">
        <v>6</v>
      </c>
      <c r="H306" s="4" t="inlineStr">
        <is>
          <t>Tez Johnson</t>
        </is>
      </c>
      <c r="I306" s="4" t="inlineStr">
        <is>
          <t>TB</t>
        </is>
      </c>
      <c r="J306" s="3" t="n">
        <v>10</v>
      </c>
      <c r="K306" s="4" t="inlineStr"/>
      <c r="L306" s="9" t="inlineStr">
        <is>
          <t>Gauntlet</t>
        </is>
      </c>
      <c r="M306" s="4" t="inlineStr"/>
      <c r="N306" s="3" t="n"/>
      <c r="O306" s="3" t="n"/>
      <c r="P306" s="3" t="n">
        <v>-28.6</v>
      </c>
      <c r="Q306" s="4" t="inlineStr"/>
      <c r="R306" s="8" t="inlineStr">
        <is>
          <t>ECR-ranked; no dedicated situational research yet -- verify news/depth chart closer to draft time.</t>
        </is>
      </c>
    </row>
    <row r="307">
      <c r="A307" s="3" t="inlineStr"/>
      <c r="B307" s="3" t="n">
        <v>304</v>
      </c>
      <c r="C307" s="3" t="n">
        <v>11</v>
      </c>
      <c r="D307" s="3" t="inlineStr">
        <is>
          <t>Tier 11</t>
        </is>
      </c>
      <c r="E307" s="4" t="inlineStr">
        <is>
          <t>WR</t>
        </is>
      </c>
      <c r="F307" s="3" t="n">
        <v>101</v>
      </c>
      <c r="G307" s="3" t="n">
        <v>6</v>
      </c>
      <c r="H307" s="4" t="inlineStr">
        <is>
          <t>Marvin Mims</t>
        </is>
      </c>
      <c r="I307" s="4" t="inlineStr">
        <is>
          <t>DEN</t>
        </is>
      </c>
      <c r="J307" s="3" t="n">
        <v>10</v>
      </c>
      <c r="K307" s="12" t="inlineStr">
        <is>
          <t>YES</t>
        </is>
      </c>
      <c r="L307" s="17" t="inlineStr">
        <is>
          <t>Soft</t>
        </is>
      </c>
      <c r="M307" s="4" t="inlineStr"/>
      <c r="N307" s="3" t="n"/>
      <c r="O307" s="3" t="n"/>
      <c r="P307" s="3" t="n">
        <v>-28.6</v>
      </c>
      <c r="Q307" s="21" t="inlineStr">
        <is>
          <t>DEPTH</t>
        </is>
      </c>
      <c r="R307" s="8" t="inlineStr">
        <is>
          <t>Contract year; Broncos big-play role</t>
        </is>
      </c>
    </row>
    <row r="308">
      <c r="A308" s="3" t="inlineStr"/>
      <c r="B308" s="3" t="n">
        <v>305</v>
      </c>
      <c r="C308" s="3" t="n">
        <v>11</v>
      </c>
      <c r="D308" s="3" t="inlineStr">
        <is>
          <t>Tier 11</t>
        </is>
      </c>
      <c r="E308" s="4" t="inlineStr">
        <is>
          <t>WR</t>
        </is>
      </c>
      <c r="F308" s="3" t="n">
        <v>106</v>
      </c>
      <c r="G308" s="3" t="n">
        <v>6</v>
      </c>
      <c r="H308" s="4" t="inlineStr">
        <is>
          <t>Isaiah Bond</t>
        </is>
      </c>
      <c r="I308" s="4" t="inlineStr">
        <is>
          <t>CLE</t>
        </is>
      </c>
      <c r="J308" s="3" t="n">
        <v>11</v>
      </c>
      <c r="K308" s="4" t="inlineStr"/>
      <c r="L308" s="5" t="inlineStr">
        <is>
          <t>Very Soft</t>
        </is>
      </c>
      <c r="M308" s="4" t="inlineStr"/>
      <c r="N308" s="3" t="n"/>
      <c r="O308" s="3" t="n"/>
      <c r="P308" s="3" t="n">
        <v>-28.9</v>
      </c>
      <c r="Q308" s="4" t="inlineStr"/>
      <c r="R308" s="8" t="inlineStr">
        <is>
          <t>ECR-ranked; no dedicated situational research yet -- verify news/depth chart closer to draft time.</t>
        </is>
      </c>
    </row>
    <row r="309">
      <c r="A309" s="3" t="inlineStr"/>
      <c r="B309" s="3" t="n">
        <v>306</v>
      </c>
      <c r="C309" s="3" t="n">
        <v>11</v>
      </c>
      <c r="D309" s="3" t="inlineStr">
        <is>
          <t>Tier 11</t>
        </is>
      </c>
      <c r="E309" s="4" t="inlineStr">
        <is>
          <t>WR</t>
        </is>
      </c>
      <c r="F309" s="3" t="n">
        <v>118</v>
      </c>
      <c r="G309" s="3" t="n">
        <v>6</v>
      </c>
      <c r="H309" s="4" t="inlineStr">
        <is>
          <t>Konata Mumpfield</t>
        </is>
      </c>
      <c r="I309" s="4" t="inlineStr">
        <is>
          <t>LAR</t>
        </is>
      </c>
      <c r="J309" s="3" t="n">
        <v>11</v>
      </c>
      <c r="K309" s="4" t="inlineStr"/>
      <c r="L309" s="13" t="inlineStr">
        <is>
          <t>Tough</t>
        </is>
      </c>
      <c r="M309" s="4" t="inlineStr"/>
      <c r="N309" s="3" t="n"/>
      <c r="O309" s="3" t="n"/>
      <c r="P309" s="3" t="n">
        <v>-29</v>
      </c>
      <c r="Q309" s="4" t="inlineStr"/>
      <c r="R309" s="8" t="inlineStr">
        <is>
          <t>ECR-ranked; no dedicated situational research yet -- verify news/depth chart closer to draft time.</t>
        </is>
      </c>
    </row>
    <row r="310">
      <c r="A310" s="3" t="inlineStr"/>
      <c r="B310" s="3" t="n">
        <v>307</v>
      </c>
      <c r="C310" s="3" t="n">
        <v>11</v>
      </c>
      <c r="D310" s="3" t="inlineStr">
        <is>
          <t>Tier 11</t>
        </is>
      </c>
      <c r="E310" s="4" t="inlineStr">
        <is>
          <t>WR</t>
        </is>
      </c>
      <c r="F310" s="3" t="n">
        <v>123</v>
      </c>
      <c r="G310" s="3" t="n">
        <v>6</v>
      </c>
      <c r="H310" s="4" t="inlineStr">
        <is>
          <t>Joshua Palmer</t>
        </is>
      </c>
      <c r="I310" s="4" t="inlineStr">
        <is>
          <t>BUF</t>
        </is>
      </c>
      <c r="J310" s="3" t="n">
        <v>7</v>
      </c>
      <c r="K310" s="4" t="inlineStr"/>
      <c r="L310" s="9" t="inlineStr">
        <is>
          <t>Gauntlet</t>
        </is>
      </c>
      <c r="M310" s="4" t="inlineStr"/>
      <c r="N310" s="3" t="n"/>
      <c r="O310" s="3" t="n"/>
      <c r="P310" s="3" t="n">
        <v>-29.1</v>
      </c>
      <c r="Q310" s="4" t="inlineStr"/>
      <c r="R310" s="8" t="inlineStr">
        <is>
          <t>ECR-ranked; no dedicated situational research yet -- verify news/depth chart closer to draft time.</t>
        </is>
      </c>
    </row>
    <row r="311">
      <c r="A311" s="3" t="inlineStr"/>
      <c r="B311" s="3" t="n">
        <v>308</v>
      </c>
      <c r="C311" s="3" t="n">
        <v>11</v>
      </c>
      <c r="D311" s="3" t="inlineStr">
        <is>
          <t>Tier 11</t>
        </is>
      </c>
      <c r="E311" s="4" t="inlineStr">
        <is>
          <t>QB</t>
        </is>
      </c>
      <c r="F311" s="3" t="n">
        <v>37</v>
      </c>
      <c r="G311" s="3" t="n">
        <v>6</v>
      </c>
      <c r="H311" s="4" t="inlineStr">
        <is>
          <t>J.J. McCarthy</t>
        </is>
      </c>
      <c r="I311" s="4" t="inlineStr">
        <is>
          <t>MIN</t>
        </is>
      </c>
      <c r="J311" s="3" t="n">
        <v>6</v>
      </c>
      <c r="K311" s="4" t="inlineStr"/>
      <c r="L311" s="17" t="inlineStr">
        <is>
          <t>Soft</t>
        </is>
      </c>
      <c r="M311" s="6" t="inlineStr">
        <is>
          <t>Superflex Depth</t>
        </is>
      </c>
      <c r="N311" s="3" t="n">
        <v>178</v>
      </c>
      <c r="O311" s="22" t="n">
        <v>-130</v>
      </c>
      <c r="P311" s="3" t="n">
        <v>-29.2</v>
      </c>
      <c r="Q311" s="4" t="inlineStr"/>
      <c r="R311" s="8" t="inlineStr">
        <is>
          <t>ECR-ranked; no dedicated situational research yet -- verify news/depth chart closer to draft time.</t>
        </is>
      </c>
    </row>
    <row r="312">
      <c r="A312" s="3" t="inlineStr"/>
      <c r="B312" s="3" t="n">
        <v>309</v>
      </c>
      <c r="C312" s="3" t="n">
        <v>11</v>
      </c>
      <c r="D312" s="3" t="inlineStr">
        <is>
          <t>Tier 11</t>
        </is>
      </c>
      <c r="E312" s="4" t="inlineStr">
        <is>
          <t>WR</t>
        </is>
      </c>
      <c r="F312" s="3" t="n">
        <v>113</v>
      </c>
      <c r="G312" s="3" t="n">
        <v>6</v>
      </c>
      <c r="H312" s="4" t="inlineStr">
        <is>
          <t>Bryce Lance</t>
        </is>
      </c>
      <c r="I312" s="4" t="inlineStr">
        <is>
          <t>NO</t>
        </is>
      </c>
      <c r="J312" s="3" t="n">
        <v>8</v>
      </c>
      <c r="K312" s="4" t="inlineStr"/>
      <c r="L312" s="17" t="inlineStr">
        <is>
          <t>Soft</t>
        </is>
      </c>
      <c r="M312" s="4" t="inlineStr"/>
      <c r="N312" s="3" t="n"/>
      <c r="O312" s="3" t="n"/>
      <c r="P312" s="3" t="n">
        <v>-29.4</v>
      </c>
      <c r="Q312" s="4" t="inlineStr"/>
      <c r="R312" s="8" t="inlineStr">
        <is>
          <t>ECR-ranked; no dedicated situational research yet -- verify news/depth chart closer to draft time.</t>
        </is>
      </c>
    </row>
    <row r="313">
      <c r="A313" s="3" t="inlineStr"/>
      <c r="B313" s="3" t="n">
        <v>310</v>
      </c>
      <c r="C313" s="3" t="n">
        <v>11</v>
      </c>
      <c r="D313" s="3" t="inlineStr">
        <is>
          <t>Tier 11</t>
        </is>
      </c>
      <c r="E313" s="4" t="inlineStr">
        <is>
          <t>WR</t>
        </is>
      </c>
      <c r="F313" s="3" t="n">
        <v>109</v>
      </c>
      <c r="G313" s="3" t="n">
        <v>6</v>
      </c>
      <c r="H313" s="4" t="inlineStr">
        <is>
          <t>Demario Douglas</t>
        </is>
      </c>
      <c r="I313" s="4" t="inlineStr">
        <is>
          <t>NE</t>
        </is>
      </c>
      <c r="J313" s="3" t="n">
        <v>11</v>
      </c>
      <c r="K313" s="12" t="inlineStr">
        <is>
          <t>YES</t>
        </is>
      </c>
      <c r="L313" s="11" t="inlineStr">
        <is>
          <t>Neutral</t>
        </is>
      </c>
      <c r="M313" s="4" t="inlineStr"/>
      <c r="N313" s="3" t="n"/>
      <c r="O313" s="3" t="n"/>
      <c r="P313" s="3" t="n">
        <v>-29.4</v>
      </c>
      <c r="Q313" s="21" t="inlineStr">
        <is>
          <t>DEPTH</t>
        </is>
      </c>
      <c r="R313" s="8" t="inlineStr">
        <is>
          <t>Contract year; Patriots depth</t>
        </is>
      </c>
    </row>
    <row r="314">
      <c r="A314" s="3" t="inlineStr"/>
      <c r="B314" s="3" t="n">
        <v>311</v>
      </c>
      <c r="C314" s="3" t="n">
        <v>11</v>
      </c>
      <c r="D314" s="3" t="inlineStr">
        <is>
          <t>Tier 11</t>
        </is>
      </c>
      <c r="E314" s="4" t="inlineStr">
        <is>
          <t>WR</t>
        </is>
      </c>
      <c r="F314" s="3" t="n">
        <v>120</v>
      </c>
      <c r="G314" s="3" t="n">
        <v>6</v>
      </c>
      <c r="H314" s="4" t="inlineStr">
        <is>
          <t>Kendrick Bourne</t>
        </is>
      </c>
      <c r="I314" s="4" t="inlineStr">
        <is>
          <t>ARI</t>
        </is>
      </c>
      <c r="J314" s="3" t="n">
        <v>14</v>
      </c>
      <c r="K314" s="4" t="inlineStr"/>
      <c r="L314" s="13" t="inlineStr">
        <is>
          <t>Tough</t>
        </is>
      </c>
      <c r="M314" s="4" t="inlineStr"/>
      <c r="N314" s="3" t="n"/>
      <c r="O314" s="3" t="n"/>
      <c r="P314" s="3" t="n">
        <v>-29.4</v>
      </c>
      <c r="Q314" s="4" t="inlineStr"/>
      <c r="R314" s="8" t="inlineStr">
        <is>
          <t>ECR-ranked; no dedicated situational research yet -- verify news/depth chart closer to draft time.</t>
        </is>
      </c>
    </row>
    <row r="315">
      <c r="A315" s="3" t="inlineStr"/>
      <c r="B315" s="3" t="n">
        <v>312</v>
      </c>
      <c r="C315" s="3" t="n">
        <v>11</v>
      </c>
      <c r="D315" s="3" t="inlineStr">
        <is>
          <t>Tier 11</t>
        </is>
      </c>
      <c r="E315" s="4" t="inlineStr">
        <is>
          <t>WR</t>
        </is>
      </c>
      <c r="F315" s="3" t="n">
        <v>127</v>
      </c>
      <c r="G315" s="3" t="n">
        <v>6</v>
      </c>
      <c r="H315" s="4" t="inlineStr">
        <is>
          <t>Malik Benson</t>
        </is>
      </c>
      <c r="I315" s="4" t="inlineStr">
        <is>
          <t>LV</t>
        </is>
      </c>
      <c r="J315" s="3" t="n">
        <v>13</v>
      </c>
      <c r="K315" s="4" t="inlineStr"/>
      <c r="L315" s="9" t="inlineStr">
        <is>
          <t>Gauntlet</t>
        </is>
      </c>
      <c r="M315" s="4" t="inlineStr"/>
      <c r="N315" s="3" t="n"/>
      <c r="O315" s="3" t="n"/>
      <c r="P315" s="3" t="n">
        <v>-29.5</v>
      </c>
      <c r="Q315" s="4" t="inlineStr"/>
      <c r="R315" s="8" t="inlineStr">
        <is>
          <t>ECR-ranked; no dedicated situational research yet -- verify news/depth chart closer to draft time.</t>
        </is>
      </c>
    </row>
    <row r="316">
      <c r="A316" s="3" t="inlineStr"/>
      <c r="B316" s="3" t="n">
        <v>313</v>
      </c>
      <c r="C316" s="3" t="n">
        <v>11</v>
      </c>
      <c r="D316" s="3" t="inlineStr">
        <is>
          <t>Tier 11</t>
        </is>
      </c>
      <c r="E316" s="4" t="inlineStr">
        <is>
          <t>WR</t>
        </is>
      </c>
      <c r="F316" s="3" t="n">
        <v>114</v>
      </c>
      <c r="G316" s="3" t="n">
        <v>6</v>
      </c>
      <c r="H316" s="4" t="inlineStr">
        <is>
          <t>Jalen Tolbert</t>
        </is>
      </c>
      <c r="I316" s="4" t="inlineStr">
        <is>
          <t>MIA</t>
        </is>
      </c>
      <c r="J316" s="3" t="n">
        <v>6</v>
      </c>
      <c r="K316" s="12" t="inlineStr">
        <is>
          <t>YES</t>
        </is>
      </c>
      <c r="L316" s="13" t="inlineStr">
        <is>
          <t>Tough</t>
        </is>
      </c>
      <c r="M316" s="4" t="inlineStr"/>
      <c r="N316" s="3" t="n"/>
      <c r="O316" s="3" t="n"/>
      <c r="P316" s="3" t="n">
        <v>-29.7</v>
      </c>
      <c r="Q316" s="21" t="inlineStr">
        <is>
          <t>DEPTH</t>
        </is>
      </c>
      <c r="R316" s="8" t="inlineStr">
        <is>
          <t>Contract year; Dolphins depth-chart WR1</t>
        </is>
      </c>
    </row>
    <row r="317">
      <c r="A317" s="3" t="inlineStr"/>
      <c r="B317" s="3" t="n">
        <v>314</v>
      </c>
      <c r="C317" s="3" t="n">
        <v>11</v>
      </c>
      <c r="D317" s="3" t="inlineStr">
        <is>
          <t>Tier 11</t>
        </is>
      </c>
      <c r="E317" s="4" t="inlineStr">
        <is>
          <t>WR</t>
        </is>
      </c>
      <c r="F317" s="3" t="n">
        <v>131</v>
      </c>
      <c r="G317" s="3" t="n">
        <v>6</v>
      </c>
      <c r="H317" s="4" t="inlineStr">
        <is>
          <t>Dont'e Thornton Jr.</t>
        </is>
      </c>
      <c r="I317" s="4" t="inlineStr">
        <is>
          <t>LV</t>
        </is>
      </c>
      <c r="J317" s="3" t="n">
        <v>13</v>
      </c>
      <c r="K317" s="4" t="inlineStr"/>
      <c r="L317" s="9" t="inlineStr">
        <is>
          <t>Gauntlet</t>
        </is>
      </c>
      <c r="M317" s="4" t="inlineStr"/>
      <c r="N317" s="3" t="n"/>
      <c r="O317" s="3" t="n"/>
      <c r="P317" s="3" t="n">
        <v>-30.1</v>
      </c>
      <c r="Q317" s="4" t="inlineStr"/>
      <c r="R317" s="8" t="inlineStr">
        <is>
          <t>ECR-ranked; no dedicated situational research yet -- verify news/depth chart closer to draft time.</t>
        </is>
      </c>
    </row>
    <row r="318">
      <c r="A318" s="3" t="inlineStr"/>
      <c r="B318" s="3" t="n">
        <v>315</v>
      </c>
      <c r="C318" s="3" t="n">
        <v>11</v>
      </c>
      <c r="D318" s="3" t="inlineStr">
        <is>
          <t>Tier 11</t>
        </is>
      </c>
      <c r="E318" s="4" t="inlineStr">
        <is>
          <t>WR</t>
        </is>
      </c>
      <c r="F318" s="3" t="n">
        <v>124</v>
      </c>
      <c r="G318" s="3" t="n">
        <v>6</v>
      </c>
      <c r="H318" s="4" t="inlineStr">
        <is>
          <t>Olamide Zaccheaus</t>
        </is>
      </c>
      <c r="I318" s="4" t="inlineStr">
        <is>
          <t>ATL</t>
        </is>
      </c>
      <c r="J318" s="3" t="n">
        <v>11</v>
      </c>
      <c r="K318" s="4" t="inlineStr"/>
      <c r="L318" s="11" t="inlineStr">
        <is>
          <t>Neutral</t>
        </is>
      </c>
      <c r="M318" s="4" t="inlineStr"/>
      <c r="N318" s="3" t="n"/>
      <c r="O318" s="3" t="n"/>
      <c r="P318" s="3" t="n">
        <v>-30.3</v>
      </c>
      <c r="Q318" s="4" t="inlineStr"/>
      <c r="R318" s="8" t="inlineStr">
        <is>
          <t>ECR-ranked; no dedicated situational research yet -- verify news/depth chart closer to draft time.</t>
        </is>
      </c>
    </row>
    <row r="319">
      <c r="A319" s="3" t="inlineStr"/>
      <c r="B319" s="3" t="n">
        <v>316</v>
      </c>
      <c r="C319" s="3" t="n">
        <v>11</v>
      </c>
      <c r="D319" s="3" t="inlineStr">
        <is>
          <t>Tier 11</t>
        </is>
      </c>
      <c r="E319" s="4" t="inlineStr">
        <is>
          <t>WR</t>
        </is>
      </c>
      <c r="F319" s="3" t="n">
        <v>117</v>
      </c>
      <c r="G319" s="3" t="n">
        <v>6</v>
      </c>
      <c r="H319" s="4" t="inlineStr">
        <is>
          <t>Luke McCaffrey</t>
        </is>
      </c>
      <c r="I319" s="4" t="inlineStr">
        <is>
          <t>WAS</t>
        </is>
      </c>
      <c r="J319" s="3" t="n">
        <v>7</v>
      </c>
      <c r="K319" s="4" t="inlineStr"/>
      <c r="L319" s="17" t="inlineStr">
        <is>
          <t>Soft</t>
        </is>
      </c>
      <c r="M319" s="4" t="inlineStr"/>
      <c r="N319" s="3" t="n"/>
      <c r="O319" s="3" t="n"/>
      <c r="P319" s="3" t="n">
        <v>-30.4</v>
      </c>
      <c r="Q319" s="4" t="inlineStr"/>
      <c r="R319" s="8" t="inlineStr">
        <is>
          <t>ECR-ranked; no dedicated situational research yet -- verify news/depth chart closer to draft time.</t>
        </is>
      </c>
    </row>
    <row r="320">
      <c r="A320" s="3" t="inlineStr"/>
      <c r="B320" s="3" t="n">
        <v>317</v>
      </c>
      <c r="C320" s="3" t="n">
        <v>11</v>
      </c>
      <c r="D320" s="3" t="inlineStr">
        <is>
          <t>Tier 11</t>
        </is>
      </c>
      <c r="E320" s="4" t="inlineStr">
        <is>
          <t>WR</t>
        </is>
      </c>
      <c r="F320" s="3" t="n">
        <v>126</v>
      </c>
      <c r="G320" s="3" t="n">
        <v>6</v>
      </c>
      <c r="H320" s="4" t="inlineStr">
        <is>
          <t>Chris Brazzell II</t>
        </is>
      </c>
      <c r="I320" s="4" t="inlineStr">
        <is>
          <t>CAR</t>
        </is>
      </c>
      <c r="J320" s="3" t="n">
        <v>5</v>
      </c>
      <c r="K320" s="4" t="inlineStr"/>
      <c r="L320" s="13" t="inlineStr">
        <is>
          <t>Tough</t>
        </is>
      </c>
      <c r="M320" s="4" t="inlineStr"/>
      <c r="N320" s="3" t="n"/>
      <c r="O320" s="3" t="n"/>
      <c r="P320" s="3" t="n">
        <v>-30.4</v>
      </c>
      <c r="Q320" s="4" t="inlineStr"/>
      <c r="R320" s="8" t="inlineStr">
        <is>
          <t>ECR-ranked; no dedicated situational research yet -- verify news/depth chart closer to draft time.</t>
        </is>
      </c>
    </row>
    <row r="321">
      <c r="A321" s="3" t="inlineStr"/>
      <c r="B321" s="3" t="n">
        <v>318</v>
      </c>
      <c r="C321" s="3" t="n">
        <v>11</v>
      </c>
      <c r="D321" s="3" t="inlineStr">
        <is>
          <t>Tier 11</t>
        </is>
      </c>
      <c r="E321" s="4" t="inlineStr">
        <is>
          <t>WR</t>
        </is>
      </c>
      <c r="F321" s="3" t="n">
        <v>122</v>
      </c>
      <c r="G321" s="3" t="n">
        <v>6</v>
      </c>
      <c r="H321" s="4" t="inlineStr">
        <is>
          <t>Jalen Royals</t>
        </is>
      </c>
      <c r="I321" s="4" t="inlineStr">
        <is>
          <t>KC</t>
        </is>
      </c>
      <c r="J321" s="3" t="n">
        <v>5</v>
      </c>
      <c r="K321" s="4" t="inlineStr"/>
      <c r="L321" s="11" t="inlineStr">
        <is>
          <t>Neutral</t>
        </is>
      </c>
      <c r="M321" s="4" t="inlineStr"/>
      <c r="N321" s="3" t="n"/>
      <c r="O321" s="3" t="n"/>
      <c r="P321" s="3" t="n">
        <v>-30.4</v>
      </c>
      <c r="Q321" s="4" t="inlineStr"/>
      <c r="R321" s="8" t="inlineStr">
        <is>
          <t>ECR-ranked; no dedicated situational research yet -- verify news/depth chart closer to draft time.</t>
        </is>
      </c>
    </row>
    <row r="322">
      <c r="A322" s="3" t="inlineStr"/>
      <c r="B322" s="3" t="n">
        <v>319</v>
      </c>
      <c r="C322" s="3" t="n">
        <v>11</v>
      </c>
      <c r="D322" s="3" t="inlineStr">
        <is>
          <t>Tier 11</t>
        </is>
      </c>
      <c r="E322" s="4" t="inlineStr">
        <is>
          <t>WR</t>
        </is>
      </c>
      <c r="F322" s="3" t="n">
        <v>130</v>
      </c>
      <c r="G322" s="3" t="n">
        <v>6</v>
      </c>
      <c r="H322" s="4" t="inlineStr">
        <is>
          <t>Roman Wilson</t>
        </is>
      </c>
      <c r="I322" s="4" t="inlineStr">
        <is>
          <t>PIT</t>
        </is>
      </c>
      <c r="J322" s="3" t="n">
        <v>9</v>
      </c>
      <c r="K322" s="4" t="inlineStr"/>
      <c r="L322" s="13" t="inlineStr">
        <is>
          <t>Tough</t>
        </is>
      </c>
      <c r="M322" s="4" t="inlineStr"/>
      <c r="N322" s="3" t="n"/>
      <c r="O322" s="3" t="n"/>
      <c r="P322" s="3" t="n">
        <v>-30.5</v>
      </c>
      <c r="Q322" s="4" t="inlineStr"/>
      <c r="R322" s="8" t="inlineStr">
        <is>
          <t>ECR-ranked; no dedicated situational research yet -- verify news/depth chart closer to draft time.</t>
        </is>
      </c>
    </row>
    <row r="323">
      <c r="A323" s="3" t="inlineStr"/>
      <c r="B323" s="3" t="n">
        <v>320</v>
      </c>
      <c r="C323" s="3" t="n">
        <v>11</v>
      </c>
      <c r="D323" s="3" t="inlineStr">
        <is>
          <t>Tier 11</t>
        </is>
      </c>
      <c r="E323" s="4" t="inlineStr">
        <is>
          <t>WR</t>
        </is>
      </c>
      <c r="F323" s="3" t="n">
        <v>110</v>
      </c>
      <c r="G323" s="3" t="n">
        <v>6</v>
      </c>
      <c r="H323" s="4" t="inlineStr">
        <is>
          <t>Andrei Iosivas</t>
        </is>
      </c>
      <c r="I323" s="4" t="inlineStr">
        <is>
          <t>CIN</t>
        </is>
      </c>
      <c r="J323" s="3" t="n">
        <v>6</v>
      </c>
      <c r="K323" s="12" t="inlineStr">
        <is>
          <t>YES</t>
        </is>
      </c>
      <c r="L323" s="5" t="inlineStr">
        <is>
          <t>Very Soft</t>
        </is>
      </c>
      <c r="M323" s="4" t="inlineStr"/>
      <c r="N323" s="3" t="n"/>
      <c r="O323" s="3" t="n"/>
      <c r="P323" s="3" t="n">
        <v>-30.8</v>
      </c>
      <c r="Q323" s="21" t="inlineStr">
        <is>
          <t>DEPTH</t>
        </is>
      </c>
      <c r="R323" s="8" t="inlineStr">
        <is>
          <t>Contract year; Bengals depth</t>
        </is>
      </c>
    </row>
    <row r="324">
      <c r="A324" s="3" t="inlineStr"/>
      <c r="B324" s="3" t="n">
        <v>321</v>
      </c>
      <c r="C324" s="3" t="n">
        <v>11</v>
      </c>
      <c r="D324" s="3" t="inlineStr">
        <is>
          <t>Tier 11</t>
        </is>
      </c>
      <c r="E324" s="4" t="inlineStr">
        <is>
          <t>WR</t>
        </is>
      </c>
      <c r="F324" s="3" t="n">
        <v>128</v>
      </c>
      <c r="G324" s="3" t="n">
        <v>6</v>
      </c>
      <c r="H324" s="4" t="inlineStr">
        <is>
          <t>Savion Williams</t>
        </is>
      </c>
      <c r="I324" s="4" t="inlineStr">
        <is>
          <t>GB</t>
        </is>
      </c>
      <c r="J324" s="3" t="n">
        <v>11</v>
      </c>
      <c r="K324" s="4" t="inlineStr"/>
      <c r="L324" s="13" t="inlineStr">
        <is>
          <t>Tough</t>
        </is>
      </c>
      <c r="M324" s="4" t="inlineStr"/>
      <c r="N324" s="3" t="n"/>
      <c r="O324" s="3" t="n"/>
      <c r="P324" s="3" t="n">
        <v>-30.8</v>
      </c>
      <c r="Q324" s="4" t="inlineStr"/>
      <c r="R324" s="8" t="inlineStr">
        <is>
          <t>ECR-ranked; no dedicated situational research yet -- verify news/depth chart closer to draft time.</t>
        </is>
      </c>
    </row>
    <row r="325">
      <c r="A325" s="3" t="inlineStr"/>
      <c r="B325" s="3" t="n">
        <v>322</v>
      </c>
      <c r="C325" s="3" t="n">
        <v>11</v>
      </c>
      <c r="D325" s="3" t="inlineStr">
        <is>
          <t>Tier 11</t>
        </is>
      </c>
      <c r="E325" s="4" t="inlineStr">
        <is>
          <t>QB</t>
        </is>
      </c>
      <c r="F325" s="3" t="n">
        <v>40</v>
      </c>
      <c r="G325" s="3" t="n">
        <v>6</v>
      </c>
      <c r="H325" s="4" t="inlineStr">
        <is>
          <t>Ty Simpson</t>
        </is>
      </c>
      <c r="I325" s="4" t="inlineStr">
        <is>
          <t>LAR</t>
        </is>
      </c>
      <c r="J325" s="3" t="n">
        <v>11</v>
      </c>
      <c r="K325" s="4" t="inlineStr"/>
      <c r="L325" s="13" t="inlineStr">
        <is>
          <t>Tough</t>
        </is>
      </c>
      <c r="M325" s="6" t="inlineStr">
        <is>
          <t>Superflex Depth</t>
        </is>
      </c>
      <c r="N325" s="3" t="n">
        <v>177.1</v>
      </c>
      <c r="O325" s="22" t="n">
        <v>-144.9</v>
      </c>
      <c r="P325" s="3" t="n">
        <v>-31</v>
      </c>
      <c r="Q325" s="4" t="inlineStr"/>
      <c r="R325" s="8" t="inlineStr">
        <is>
          <t>ECR-ranked; no dedicated situational research yet -- verify news/depth chart closer to draft time.</t>
        </is>
      </c>
    </row>
    <row r="326">
      <c r="A326" s="3" t="inlineStr"/>
      <c r="B326" s="3" t="n">
        <v>323</v>
      </c>
      <c r="C326" s="3" t="n">
        <v>11</v>
      </c>
      <c r="D326" s="3" t="inlineStr">
        <is>
          <t>Tier 11</t>
        </is>
      </c>
      <c r="E326" s="4" t="inlineStr">
        <is>
          <t>QB</t>
        </is>
      </c>
      <c r="F326" s="3" t="n">
        <v>38</v>
      </c>
      <c r="G326" s="3" t="n">
        <v>6</v>
      </c>
      <c r="H326" s="4" t="inlineStr">
        <is>
          <t>Mac Jones</t>
        </is>
      </c>
      <c r="I326" s="4" t="inlineStr">
        <is>
          <t>SF</t>
        </is>
      </c>
      <c r="J326" s="3" t="n">
        <v>8</v>
      </c>
      <c r="K326" s="12" t="inlineStr">
        <is>
          <t>YES</t>
        </is>
      </c>
      <c r="L326" s="11" t="inlineStr">
        <is>
          <t>Neutral</t>
        </is>
      </c>
      <c r="M326" s="6" t="inlineStr">
        <is>
          <t>Superflex Depth</t>
        </is>
      </c>
      <c r="N326" s="3" t="n">
        <v>180.3</v>
      </c>
      <c r="O326" s="22" t="n">
        <v>-142.7</v>
      </c>
      <c r="P326" s="3" t="n">
        <v>-31.1</v>
      </c>
      <c r="Q326" s="21" t="inlineStr">
        <is>
          <t>DEPTH</t>
        </is>
      </c>
      <c r="R326" s="8" t="inlineStr">
        <is>
          <t>Contract year; backup to Purdy</t>
        </is>
      </c>
    </row>
    <row r="327">
      <c r="A327" s="3" t="inlineStr"/>
      <c r="B327" s="3" t="n">
        <v>324</v>
      </c>
      <c r="C327" s="3" t="n">
        <v>12</v>
      </c>
      <c r="D327" s="3" t="inlineStr">
        <is>
          <t>Tier 12</t>
        </is>
      </c>
      <c r="E327" s="4" t="inlineStr">
        <is>
          <t>WR</t>
        </is>
      </c>
      <c r="F327" s="3" t="n">
        <v>121</v>
      </c>
      <c r="G327" s="3" t="n">
        <v>6</v>
      </c>
      <c r="H327" s="4" t="inlineStr">
        <is>
          <t>Cedric Tillman</t>
        </is>
      </c>
      <c r="I327" s="4" t="inlineStr">
        <is>
          <t>FA</t>
        </is>
      </c>
      <c r="J327" s="3" t="inlineStr">
        <is>
          <t>FA</t>
        </is>
      </c>
      <c r="K327" s="12" t="inlineStr">
        <is>
          <t>YES</t>
        </is>
      </c>
      <c r="L327" s="11" t="inlineStr">
        <is>
          <t>N/A (FA)</t>
        </is>
      </c>
      <c r="M327" s="4" t="inlineStr"/>
      <c r="N327" s="3" t="n"/>
      <c r="O327" s="3" t="n"/>
      <c r="P327" s="3" t="n">
        <v>-31.6</v>
      </c>
      <c r="Q327" s="21" t="inlineStr">
        <is>
          <t>DEPTH</t>
        </is>
      </c>
      <c r="R327" s="8" t="inlineStr">
        <is>
          <t>CAUTION: previously scouted as Browns WR6 (contract year); FantasyPros' fresh Aug-29 pull tags him FA (unsigned) -- verify his actual roster status before drafting.</t>
        </is>
      </c>
    </row>
    <row r="328">
      <c r="A328" s="3" t="inlineStr"/>
      <c r="B328" s="3" t="n">
        <v>325</v>
      </c>
      <c r="C328" s="3" t="n">
        <v>12</v>
      </c>
      <c r="D328" s="3" t="inlineStr">
        <is>
          <t>Tier 12</t>
        </is>
      </c>
      <c r="E328" s="4" t="inlineStr">
        <is>
          <t>WR</t>
        </is>
      </c>
      <c r="F328" s="3" t="n">
        <v>115</v>
      </c>
      <c r="G328" s="3" t="n">
        <v>6</v>
      </c>
      <c r="H328" s="4" t="inlineStr">
        <is>
          <t>Xavier Hutchinson</t>
        </is>
      </c>
      <c r="I328" s="4" t="inlineStr">
        <is>
          <t>HOU</t>
        </is>
      </c>
      <c r="J328" s="3" t="n">
        <v>8</v>
      </c>
      <c r="K328" s="12" t="inlineStr">
        <is>
          <t>YES</t>
        </is>
      </c>
      <c r="L328" s="5" t="inlineStr">
        <is>
          <t>Very Soft</t>
        </is>
      </c>
      <c r="M328" s="4" t="inlineStr"/>
      <c r="N328" s="3" t="n"/>
      <c r="O328" s="3" t="n"/>
      <c r="P328" s="3" t="n">
        <v>-31.8</v>
      </c>
      <c r="Q328" s="21" t="inlineStr">
        <is>
          <t>DEPTH</t>
        </is>
      </c>
      <c r="R328" s="8" t="inlineStr">
        <is>
          <t>Contract year; Texans depth</t>
        </is>
      </c>
    </row>
    <row r="329">
      <c r="A329" s="3" t="inlineStr"/>
      <c r="B329" s="3" t="n">
        <v>326</v>
      </c>
      <c r="C329" s="3" t="n">
        <v>12</v>
      </c>
      <c r="D329" s="3" t="inlineStr">
        <is>
          <t>Tier 12</t>
        </is>
      </c>
      <c r="E329" s="4" t="inlineStr">
        <is>
          <t>WR</t>
        </is>
      </c>
      <c r="F329" s="3" t="n">
        <v>129</v>
      </c>
      <c r="G329" s="3" t="n">
        <v>6</v>
      </c>
      <c r="H329" s="4" t="inlineStr">
        <is>
          <t>KaVontae Turpin</t>
        </is>
      </c>
      <c r="I329" s="4" t="inlineStr">
        <is>
          <t>DAL</t>
        </is>
      </c>
      <c r="J329" s="3" t="n">
        <v>14</v>
      </c>
      <c r="K329" s="4" t="inlineStr"/>
      <c r="L329" s="17" t="inlineStr">
        <is>
          <t>Soft</t>
        </is>
      </c>
      <c r="M329" s="4" t="inlineStr"/>
      <c r="N329" s="3" t="n"/>
      <c r="O329" s="3" t="n"/>
      <c r="P329" s="3" t="n">
        <v>-32.1</v>
      </c>
      <c r="Q329" s="4" t="inlineStr"/>
      <c r="R329" s="8" t="inlineStr">
        <is>
          <t>ECR-ranked; no dedicated situational research yet -- verify news/depth chart closer to draft time.</t>
        </is>
      </c>
    </row>
    <row r="330">
      <c r="A330" s="3" t="inlineStr"/>
      <c r="B330" s="3" t="n">
        <v>327</v>
      </c>
      <c r="C330" s="3" t="n">
        <v>12</v>
      </c>
      <c r="D330" s="3" t="inlineStr">
        <is>
          <t>Tier 12</t>
        </is>
      </c>
      <c r="E330" s="4" t="inlineStr">
        <is>
          <t>QB</t>
        </is>
      </c>
      <c r="F330" s="3" t="n">
        <v>39</v>
      </c>
      <c r="G330" s="3" t="n">
        <v>6</v>
      </c>
      <c r="H330" s="4" t="inlineStr">
        <is>
          <t>Justin Fields</t>
        </is>
      </c>
      <c r="I330" s="4" t="inlineStr">
        <is>
          <t>KC</t>
        </is>
      </c>
      <c r="J330" s="3" t="n">
        <v>5</v>
      </c>
      <c r="K330" s="12" t="inlineStr">
        <is>
          <t>YES</t>
        </is>
      </c>
      <c r="L330" s="11" t="inlineStr">
        <is>
          <t>Neutral</t>
        </is>
      </c>
      <c r="M330" s="6" t="inlineStr">
        <is>
          <t>Superflex Depth</t>
        </is>
      </c>
      <c r="N330" s="3" t="n">
        <v>177.3</v>
      </c>
      <c r="O330" s="22" t="n">
        <v>-149.7</v>
      </c>
      <c r="P330" s="3" t="n">
        <v>-32.4</v>
      </c>
      <c r="Q330" s="21" t="inlineStr">
        <is>
          <t>DEPTH</t>
        </is>
      </c>
      <c r="R330" s="8" t="inlineStr">
        <is>
          <t>Contract year; rushing-only streamer if he starts in KC</t>
        </is>
      </c>
    </row>
    <row r="331">
      <c r="A331" s="3" t="inlineStr"/>
      <c r="B331" s="3" t="n">
        <v>328</v>
      </c>
      <c r="C331" s="3" t="n">
        <v>12</v>
      </c>
      <c r="D331" s="3" t="inlineStr">
        <is>
          <t>Tier 12</t>
        </is>
      </c>
      <c r="E331" s="4" t="inlineStr">
        <is>
          <t>WR</t>
        </is>
      </c>
      <c r="F331" s="3" t="n">
        <v>125</v>
      </c>
      <c r="G331" s="3" t="n">
        <v>6</v>
      </c>
      <c r="H331" s="4" t="inlineStr">
        <is>
          <t>Treylon Burks</t>
        </is>
      </c>
      <c r="I331" s="4" t="inlineStr">
        <is>
          <t>WAS</t>
        </is>
      </c>
      <c r="J331" s="3" t="n">
        <v>7</v>
      </c>
      <c r="K331" s="12" t="inlineStr">
        <is>
          <t>YES</t>
        </is>
      </c>
      <c r="L331" s="17" t="inlineStr">
        <is>
          <t>Soft</t>
        </is>
      </c>
      <c r="M331" s="4" t="inlineStr"/>
      <c r="N331" s="3" t="n"/>
      <c r="O331" s="3" t="n"/>
      <c r="P331" s="3" t="n">
        <v>-33.2</v>
      </c>
      <c r="Q331" s="21" t="inlineStr">
        <is>
          <t>DEPTH</t>
        </is>
      </c>
      <c r="R331" s="8" t="inlineStr">
        <is>
          <t>Contract year; Commanders depth</t>
        </is>
      </c>
    </row>
  </sheetData>
  <mergeCells count="1">
    <mergeCell ref="A1:R1"/>
  </mergeCells>
  <conditionalFormatting sqref="A4:R331">
    <cfRule type="expression" priority="1" dxfId="0">
      <formula>$A4="✔"</formula>
    </cfRule>
  </conditionalFormatting>
  <dataValidations count="1">
    <dataValidation sqref="A4:A331" showDropDown="0" showInputMessage="0" showErrorMessage="0" allowBlank="1" type="list">
      <formula1>"✔"</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24" customWidth="1" min="1" max="1"/>
    <col width="14" customWidth="1" min="2" max="2"/>
    <col width="90" customWidth="1" min="3" max="3"/>
  </cols>
  <sheetData>
    <row r="1">
      <c r="A1" s="24" t="inlineStr">
        <is>
          <t>LEAGUE SETUP</t>
        </is>
      </c>
    </row>
    <row r="3">
      <c r="A3" s="25" t="inlineStr">
        <is>
          <t>Platform</t>
        </is>
      </c>
      <c r="B3" t="inlineStr">
        <is>
          <t>Sleeper (Enhanced Sleeper Sync), 10-team Redraft, 2026 season</t>
        </is>
      </c>
    </row>
    <row r="4">
      <c r="A4" s="25" t="inlineStr">
        <is>
          <t>Draft format</t>
        </is>
      </c>
      <c r="B4" t="inlineStr">
        <is>
          <t>Snake draft, 16 rounds, you draft 8th overall</t>
        </is>
      </c>
    </row>
    <row r="5">
      <c r="A5" s="25" t="inlineStr">
        <is>
          <t>Starting roster</t>
        </is>
      </c>
      <c r="B5" t="inlineStr">
        <is>
          <t>1 QB, 2 RB, 2 WR, 1 TE, 2 FLEX (W/R/T), 1 SUPERFLEX (W/R/T/Q)</t>
        </is>
      </c>
    </row>
    <row r="6">
      <c r="A6" s="25" t="inlineStr">
        <is>
          <t>Bench / IR</t>
        </is>
      </c>
      <c r="B6" t="inlineStr">
        <is>
          <t>7 Bench, 2 IR</t>
        </is>
      </c>
    </row>
    <row r="7">
      <c r="A7" s="25" t="inlineStr">
        <is>
          <t>PPR base</t>
        </is>
      </c>
      <c r="B7" t="inlineStr">
        <is>
          <t>0.5 PPR (all positions)</t>
        </is>
      </c>
    </row>
    <row r="8">
      <c r="A8" s="25" t="inlineStr">
        <is>
          <t>TE Premium</t>
        </is>
      </c>
      <c r="B8" t="inlineStr">
        <is>
          <t>TEs get an ADDITIONAL +0.5 / reception on top of the 0.5 base = 1.0 total PPR for TEs only</t>
        </is>
      </c>
    </row>
    <row r="10">
      <c r="A10" s="24" t="inlineStr">
        <is>
          <t>CUSTOM SCORING RULES</t>
        </is>
      </c>
    </row>
    <row r="11">
      <c r="A11" s="26" t="inlineStr">
        <is>
          <t>Category</t>
        </is>
      </c>
      <c r="B11" s="26" t="inlineStr">
        <is>
          <t>Rule</t>
        </is>
      </c>
      <c r="C11" s="26" t="inlineStr">
        <is>
          <t>Value</t>
        </is>
      </c>
    </row>
    <row r="12">
      <c r="A12" s="27" t="inlineStr">
        <is>
          <t>PASSING</t>
        </is>
      </c>
      <c r="B12" t="inlineStr">
        <is>
          <t>Yards</t>
        </is>
      </c>
      <c r="C12" t="inlineStr">
        <is>
          <t>+0.04 / yard (25 yards = 1 pt)</t>
        </is>
      </c>
    </row>
    <row r="13">
      <c r="A13" s="27" t="inlineStr">
        <is>
          <t>PASSING</t>
        </is>
      </c>
      <c r="B13" t="inlineStr">
        <is>
          <t>Touchdowns</t>
        </is>
      </c>
      <c r="C13" t="inlineStr">
        <is>
          <t>+5.0 / passing TD</t>
        </is>
      </c>
    </row>
    <row r="14">
      <c r="A14" s="27" t="inlineStr">
        <is>
          <t>PASSING</t>
        </is>
      </c>
      <c r="B14" t="inlineStr">
        <is>
          <t>40+ yard TD bonus</t>
        </is>
      </c>
      <c r="C14" t="inlineStr">
        <is>
          <t>+0.5 additional, on top of the +5</t>
        </is>
      </c>
    </row>
    <row r="15">
      <c r="A15" s="27" t="inlineStr">
        <is>
          <t>PASSING</t>
        </is>
      </c>
      <c r="B15" t="inlineStr">
        <is>
          <t>Interceptions</t>
        </is>
      </c>
      <c r="C15" t="inlineStr">
        <is>
          <t>-2.0 / INT (this is the TOTAL INT count, pick-6es included)</t>
        </is>
      </c>
    </row>
    <row r="16">
      <c r="A16" s="27" t="inlineStr">
        <is>
          <t>PASSING</t>
        </is>
      </c>
      <c r="B16" t="inlineStr">
        <is>
          <t>Pick-6 thrown</t>
        </is>
      </c>
      <c r="C16" t="inlineStr">
        <is>
          <t>-1.0 additional per pick-6, on top of the -2 INT penalty</t>
        </is>
      </c>
    </row>
    <row r="17">
      <c r="A17" s="27" t="inlineStr">
        <is>
          <t>PASSING</t>
        </is>
      </c>
      <c r="B17" t="inlineStr">
        <is>
          <t>Sacks taken</t>
        </is>
      </c>
      <c r="C17" t="inlineStr">
        <is>
          <t>-0.5 / sack</t>
        </is>
      </c>
    </row>
    <row r="18">
      <c r="A18" s="28" t="inlineStr">
        <is>
          <t>RUSHING</t>
        </is>
      </c>
      <c r="B18" t="inlineStr">
        <is>
          <t>Yards</t>
        </is>
      </c>
      <c r="C18" t="inlineStr">
        <is>
          <t>+0.1 / yard (10 yards = 1 pt)</t>
        </is>
      </c>
    </row>
    <row r="19">
      <c r="A19" s="28" t="inlineStr">
        <is>
          <t>RUSHING</t>
        </is>
      </c>
      <c r="B19" t="inlineStr">
        <is>
          <t>Touchdowns</t>
        </is>
      </c>
      <c r="C19" t="inlineStr">
        <is>
          <t>+6.0 / rushing TD</t>
        </is>
      </c>
    </row>
    <row r="20">
      <c r="A20" s="28" t="inlineStr">
        <is>
          <t>RUSHING</t>
        </is>
      </c>
      <c r="B20" t="inlineStr">
        <is>
          <t>40+ yard TD bonus</t>
        </is>
      </c>
      <c r="C20" t="inlineStr">
        <is>
          <t>+2.0 additional, on top of the +6</t>
        </is>
      </c>
    </row>
    <row r="21">
      <c r="A21" s="28" t="inlineStr">
        <is>
          <t>RUSHING</t>
        </is>
      </c>
      <c r="B21" t="inlineStr">
        <is>
          <t>2-pt conversion</t>
        </is>
      </c>
      <c r="C21" t="inlineStr">
        <is>
          <t>+2.0</t>
        </is>
      </c>
    </row>
    <row r="22">
      <c r="A22" s="28" t="inlineStr">
        <is>
          <t>RUSHING</t>
        </is>
      </c>
      <c r="B22" t="inlineStr">
        <is>
          <t>100-199 yard game bonus</t>
        </is>
      </c>
      <c r="C22" t="inlineStr">
        <is>
          <t>+2.0 (milestone, does not stack with the 200+ bonus)</t>
        </is>
      </c>
    </row>
    <row r="23">
      <c r="A23" s="28" t="inlineStr">
        <is>
          <t>RUSHING</t>
        </is>
      </c>
      <c r="B23" t="inlineStr">
        <is>
          <t>200+ yard game bonus</t>
        </is>
      </c>
      <c r="C23" t="inlineStr">
        <is>
          <t>+4.0 (milestone, replaces the 100-199 bonus, doesn't stack)</t>
        </is>
      </c>
    </row>
    <row r="24">
      <c r="A24" s="29" t="inlineStr">
        <is>
          <t>RECEIVING</t>
        </is>
      </c>
      <c r="B24" t="inlineStr">
        <is>
          <t>Reception (base)</t>
        </is>
      </c>
      <c r="C24" t="inlineStr">
        <is>
          <t>+0.5 / catch (all positions)</t>
        </is>
      </c>
    </row>
    <row r="25">
      <c r="A25" s="29" t="inlineStr">
        <is>
          <t>RECEIVING</t>
        </is>
      </c>
      <c r="B25" t="inlineStr">
        <is>
          <t>Reception (TE Premium)</t>
        </is>
      </c>
      <c r="C25" t="inlineStr">
        <is>
          <t>+1.0 / catch total for TEs only (0.5 base + 0.5 TEP)</t>
        </is>
      </c>
    </row>
    <row r="26">
      <c r="A26" s="29" t="inlineStr">
        <is>
          <t>RECEIVING</t>
        </is>
      </c>
      <c r="B26" t="inlineStr">
        <is>
          <t>Yards</t>
        </is>
      </c>
      <c r="C26" t="inlineStr">
        <is>
          <t>+0.1 / yard (10 yards = 1 pt)</t>
        </is>
      </c>
    </row>
    <row r="27">
      <c r="A27" s="29" t="inlineStr">
        <is>
          <t>RECEIVING</t>
        </is>
      </c>
      <c r="B27" t="inlineStr">
        <is>
          <t>Touchdowns</t>
        </is>
      </c>
      <c r="C27" t="inlineStr">
        <is>
          <t>+6.0 / receiving TD</t>
        </is>
      </c>
    </row>
    <row r="28">
      <c r="A28" s="29" t="inlineStr">
        <is>
          <t>RECEIVING</t>
        </is>
      </c>
      <c r="B28" t="inlineStr">
        <is>
          <t>40+ yard TD bonus</t>
        </is>
      </c>
      <c r="C28" t="inlineStr">
        <is>
          <t>+2.0 additional, on top of the +6</t>
        </is>
      </c>
    </row>
    <row r="29">
      <c r="A29" s="29" t="inlineStr">
        <is>
          <t>RECEIVING</t>
        </is>
      </c>
      <c r="B29" t="inlineStr">
        <is>
          <t>100-199 yard game bonus</t>
        </is>
      </c>
      <c r="C29" t="inlineStr">
        <is>
          <t>+3.0 (milestone, does not stack with the 200+ bonus)</t>
        </is>
      </c>
    </row>
    <row r="30">
      <c r="A30" s="29" t="inlineStr">
        <is>
          <t>RECEIVING</t>
        </is>
      </c>
      <c r="B30" t="inlineStr">
        <is>
          <t>200+ yard game bonus</t>
        </is>
      </c>
      <c r="C30" t="inlineStr">
        <is>
          <t>+5.0 (milestone, replaces the 100-199 bonus, doesn't stack)</t>
        </is>
      </c>
    </row>
    <row r="31">
      <c r="A31" s="30" t="inlineStr">
        <is>
          <t>MISC</t>
        </is>
      </c>
      <c r="B31" t="inlineStr">
        <is>
          <t>Fumble</t>
        </is>
      </c>
      <c r="C31" t="inlineStr">
        <is>
          <t>-1.0 (total fumbles)</t>
        </is>
      </c>
    </row>
    <row r="32">
      <c r="A32" s="30" t="inlineStr">
        <is>
          <t>MISC</t>
        </is>
      </c>
      <c r="B32" t="inlineStr">
        <is>
          <t>Fumble lost</t>
        </is>
      </c>
      <c r="C32" t="inlineStr">
        <is>
          <t>-1.0 additional per fumble lost, on top of the -1 fumble penalty</t>
        </is>
      </c>
    </row>
    <row r="35">
      <c r="A35" s="24" t="inlineStr">
        <is>
          <t>HOW THE DRAFT BOARD'S GLOBAL TIER / GLOBAL VALUE COLUMNS ARE CALCULATED</t>
        </is>
      </c>
    </row>
    <row r="36">
      <c r="A36" s="31" t="inlineStr">
        <is>
          <t>This is a Value-Based Drafting (VBD) model -- it's what makes QB/RB/WR/TE comparable on ONE scale so the whole board can be a single global order instead of four position lists.</t>
        </is>
      </c>
    </row>
    <row r="37">
      <c r="A37" t="inlineStr">
        <is>
          <t>Step 1: Est. Points = Peak Points x (Positional ECR Rank ^ -Decay Alpha)</t>
        </is>
      </c>
    </row>
    <row r="38">
      <c r="A38" t="inlineStr">
        <is>
          <t>Step 2: Global Value = (Est. Points - Replacement Points for that position) x (1 + CY bonus) x (1 +/- continuous SoS bonus) x (Durability adj., default 1.0)</t>
        </is>
      </c>
    </row>
    <row r="40">
      <c r="A40" s="26" t="inlineStr">
        <is>
          <t>Constant</t>
        </is>
      </c>
      <c r="B40" s="26" t="inlineStr">
        <is>
          <t>Value</t>
        </is>
      </c>
      <c r="C40" s="26" t="inlineStr">
        <is>
          <t>Meaning</t>
        </is>
      </c>
    </row>
    <row r="41">
      <c r="A41" t="inlineStr">
        <is>
          <t>PEAK_POINTS (QB)</t>
        </is>
      </c>
      <c r="B41" t="n">
        <v>420</v>
      </c>
      <c r="C41" t="inlineStr">
        <is>
          <t>Estimated full-season points for the #1 QB -- Superflex demand is baked in here, not a bolt-on multiplier</t>
        </is>
      </c>
    </row>
    <row r="42">
      <c r="A42" t="inlineStr">
        <is>
          <t>PEAK_POINTS (RB)</t>
        </is>
      </c>
      <c r="B42" t="n">
        <v>330</v>
      </c>
      <c r="C42" t="inlineStr">
        <is>
          <t>Estimated full-season points for the #1 RB</t>
        </is>
      </c>
    </row>
    <row r="43">
      <c r="A43" t="inlineStr">
        <is>
          <t>PEAK_POINTS (WR)</t>
        </is>
      </c>
      <c r="B43" t="n">
        <v>310</v>
      </c>
      <c r="C43" t="inlineStr">
        <is>
          <t>Estimated full-season points for the #1 WR</t>
        </is>
      </c>
    </row>
    <row r="44">
      <c r="A44" t="inlineStr">
        <is>
          <t>PEAK_POINTS (TE)</t>
        </is>
      </c>
      <c r="B44" t="n">
        <v>280</v>
      </c>
      <c r="C44" t="inlineStr">
        <is>
          <t>Estimated full-season points for the #1 TE -- pushed close to WR/RB because 1.0 TE premium turns an elite pass-catcher into a near-WR1 scorer</t>
        </is>
      </c>
    </row>
    <row r="45">
      <c r="A45" t="inlineStr">
        <is>
          <t>DECAY_ALPHA (QB)</t>
        </is>
      </c>
      <c r="B45" t="n">
        <v>0.35</v>
      </c>
      <c r="C45" t="inlineStr">
        <is>
          <t>How fast QB value falls off after #1 -- QB stays deep (Superflex demand)</t>
        </is>
      </c>
    </row>
    <row r="46">
      <c r="A46" t="inlineStr">
        <is>
          <t>DECAY_ALPHA (RB)</t>
        </is>
      </c>
      <c r="B46" t="n">
        <v>0.55</v>
      </c>
      <c r="C46" t="inlineStr">
        <is>
          <t>How fast RB value falls off after #1 -- steepest cliff (bell-cow roles are scarce)</t>
        </is>
      </c>
    </row>
    <row r="47">
      <c r="A47" t="inlineStr">
        <is>
          <t>DECAY_ALPHA (WR)</t>
        </is>
      </c>
      <c r="B47" t="n">
        <v>0.4</v>
      </c>
      <c r="C47" t="inlineStr">
        <is>
          <t>How fast WR value falls off after #1 -- stays deep, this format's safest floor position</t>
        </is>
      </c>
    </row>
    <row r="48">
      <c r="A48" t="inlineStr">
        <is>
          <t>DECAY_ALPHA (TE)</t>
        </is>
      </c>
      <c r="B48" t="n">
        <v>0.65</v>
      </c>
      <c r="C48" t="inlineStr">
        <is>
          <t>How fast TE value falls off after #1 -- steep, true TE1 roles are scarce even with TE premium</t>
        </is>
      </c>
    </row>
    <row r="49">
      <c r="A49" t="inlineStr">
        <is>
          <t>REPLACEMENT_RANK (QB)</t>
        </is>
      </c>
      <c r="B49" t="n">
        <v>20</v>
      </c>
      <c r="C49" t="inlineStr">
        <is>
          <t>Last realistically-startable QB in this league (~9 of 10 Superflex slots go to a QB2)</t>
        </is>
      </c>
    </row>
    <row r="50">
      <c r="A50" t="inlineStr">
        <is>
          <t>REPLACEMENT_RANK (RB)</t>
        </is>
      </c>
      <c r="B50" t="n">
        <v>30</v>
      </c>
      <c r="C50" t="inlineStr">
        <is>
          <t>Last realistically-startable RB (2 locked + most of the FLEX allocation)</t>
        </is>
      </c>
    </row>
    <row r="51">
      <c r="A51" t="inlineStr">
        <is>
          <t>REPLACEMENT_RANK (WR)</t>
        </is>
      </c>
      <c r="B51" t="n">
        <v>34</v>
      </c>
      <c r="C51" t="inlineStr">
        <is>
          <t>Last realistically-startable WR (2 locked + the rest of the FLEX allocation)</t>
        </is>
      </c>
    </row>
    <row r="52">
      <c r="A52" t="inlineStr">
        <is>
          <t>REPLACEMENT_RANK (TE)</t>
        </is>
      </c>
      <c r="B52" t="n">
        <v>15</v>
      </c>
      <c r="C52" t="inlineStr">
        <is>
          <t>Last realistically-startable TE (1 locked + occasional FLEX use, elevated by TE premium)</t>
        </is>
      </c>
    </row>
    <row r="53">
      <c r="A53" t="inlineStr">
        <is>
          <t>CY_BONUS</t>
        </is>
      </c>
      <c r="B53" t="n">
        <v>0.05</v>
      </c>
      <c r="C53" t="inlineStr">
        <is>
          <t>+/- applied when Contract Year = YES</t>
        </is>
      </c>
    </row>
    <row r="54">
      <c r="A54" t="inlineStr">
        <is>
          <t>SOS_BONUS_MAX</t>
        </is>
      </c>
      <c r="B54" t="n">
        <v>0.05</v>
      </c>
      <c r="C54" t="inlineStr">
        <is>
          <t>v7: CONTINUOUS now, not a step function -- the single easiest Wk1-4 slate (SoS_Rank 1) gets the full +max, the single hardest (rank 32) gets the full -max, scaled linearly in between</t>
        </is>
      </c>
    </row>
    <row r="55">
      <c r="A55" t="inlineStr">
        <is>
          <t>DURABILITY</t>
        </is>
      </c>
      <c r="B55" t="inlineStr">
        <is>
          <t>0.75 - 1.00</t>
        </is>
      </c>
      <c r="C55" t="inlineStr">
        <is>
          <t>v7: a narrow, hand-curated discount (default 1.0, no discount) applied ONLY to the ~16 players whose Notes already cite a real, specific injury/durability concern (recent ACL/Achilles tear, multi-year missed games, an active in-camp injury, documented concussion history) -- not a full-roster feature, deliberately, since we don't have real games-missed data for all 328 players and won't fabricate it. See DurabilityNote in the CSV.</t>
        </is>
      </c>
    </row>
    <row r="57">
      <c r="A57" s="32" t="inlineStr">
        <is>
          <t>These are plain constants near the top of build_draft_kit_2026.py (PEAK_POINTS, DECAY_ALPHA, REPLACEMENT_RANK, WEIGHTS) -- they are realistic, documented ESTIMATES of positional value shape and this league's real starter counts, not official 2026 point projections. Edit and re-run the script if your own read on positional scarcity differs -- e.g. if you think TE premium should close the gap to WR even further, raise PEAK_POINTS['TE']. The Draft Board's GLOBAL VALUE column is a static value, not a live formula, so it won't recalculate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4" customWidth="1" min="2" max="2"/>
  </cols>
  <sheetData>
    <row r="1">
      <c r="A1" s="33" t="inlineStr">
        <is>
          <t>Paste a raw stat line below (edit the yellow cells) to see this league's exact fantasy-point total.</t>
        </is>
      </c>
    </row>
    <row r="3">
      <c r="A3" s="25" t="inlineStr">
        <is>
          <t>Is TE? (Y/N)</t>
        </is>
      </c>
      <c r="B3" s="34" t="inlineStr">
        <is>
          <t>N</t>
        </is>
      </c>
    </row>
    <row r="4">
      <c r="A4" s="25" t="inlineStr">
        <is>
          <t>Pass Yds</t>
        </is>
      </c>
      <c r="B4" s="34" t="n">
        <v>0</v>
      </c>
    </row>
    <row r="5">
      <c r="A5" s="25" t="inlineStr">
        <is>
          <t>Pass TD (total)</t>
        </is>
      </c>
      <c r="B5" s="34" t="n">
        <v>0</v>
      </c>
    </row>
    <row r="6">
      <c r="A6" s="25" t="inlineStr">
        <is>
          <t>...of which 40+ yd TD</t>
        </is>
      </c>
      <c r="B6" s="34" t="n">
        <v>0</v>
      </c>
    </row>
    <row r="7">
      <c r="A7" s="25" t="inlineStr">
        <is>
          <t>INT thrown (total)</t>
        </is>
      </c>
      <c r="B7" s="34" t="n">
        <v>0</v>
      </c>
    </row>
    <row r="8">
      <c r="A8" s="25" t="inlineStr">
        <is>
          <t>...of which Pick-6 (returned for TD)</t>
        </is>
      </c>
      <c r="B8" s="34" t="n">
        <v>0</v>
      </c>
    </row>
    <row r="9">
      <c r="A9" s="25" t="inlineStr">
        <is>
          <t>Sacks Taken</t>
        </is>
      </c>
      <c r="B9" s="34" t="n">
        <v>0</v>
      </c>
    </row>
    <row r="10">
      <c r="A10" s="25" t="inlineStr">
        <is>
          <t>Rush Yds</t>
        </is>
      </c>
      <c r="B10" s="34" t="n">
        <v>0</v>
      </c>
    </row>
    <row r="11">
      <c r="A11" s="25" t="inlineStr">
        <is>
          <t>Rush TD (total)</t>
        </is>
      </c>
      <c r="B11" s="34" t="n">
        <v>0</v>
      </c>
    </row>
    <row r="12">
      <c r="A12" s="25" t="inlineStr">
        <is>
          <t>...of which 40+ yd TD</t>
        </is>
      </c>
      <c r="B12" s="34" t="n">
        <v>0</v>
      </c>
    </row>
    <row r="13">
      <c r="A13" s="25" t="inlineStr">
        <is>
          <t>2-PT Conversions</t>
        </is>
      </c>
      <c r="B13" s="34" t="n">
        <v>0</v>
      </c>
    </row>
    <row r="14">
      <c r="A14" s="25" t="inlineStr">
        <is>
          <t>Receptions</t>
        </is>
      </c>
      <c r="B14" s="34" t="n">
        <v>0</v>
      </c>
    </row>
    <row r="15">
      <c r="A15" s="25" t="inlineStr">
        <is>
          <t>Rec Yds</t>
        </is>
      </c>
      <c r="B15" s="34" t="n">
        <v>0</v>
      </c>
    </row>
    <row r="16">
      <c r="A16" s="25" t="inlineStr">
        <is>
          <t>Rec TD (total)</t>
        </is>
      </c>
      <c r="B16" s="34" t="n">
        <v>0</v>
      </c>
    </row>
    <row r="17">
      <c r="A17" s="25" t="inlineStr">
        <is>
          <t>...of which 40+ yd TD</t>
        </is>
      </c>
      <c r="B17" s="34" t="n">
        <v>0</v>
      </c>
    </row>
    <row r="18">
      <c r="A18" s="25" t="inlineStr">
        <is>
          <t>Fumbles (total)</t>
        </is>
      </c>
      <c r="B18" s="34" t="n">
        <v>0</v>
      </c>
    </row>
    <row r="19">
      <c r="A19" s="25" t="inlineStr">
        <is>
          <t>...of which Lost</t>
        </is>
      </c>
      <c r="B19" s="34" t="n">
        <v>0</v>
      </c>
    </row>
    <row r="21">
      <c r="A21" s="33" t="inlineStr">
        <is>
          <t>TOTAL FANTASY POINTS</t>
        </is>
      </c>
      <c r="B21" s="35">
        <f>(B4*0.04) + (B5*5) + (B6*0.5) - (B7*2) - (B8*1) - (B9*0.5) + (B10*0.1) + (B11*6) + (B12*2) + (B13*2) + IF(B10&gt;=200, 4, IF(B10&gt;=100, 2, 0)) + (B14*IF(UPPER(B3)="Y", 1, 0.5)) + (B15*0.1) + (B16*6) + (B17*2) + IF(B15&gt;=200, 5, IF(B15&gt;=100, 3, 0)) - (B18*1) - (B19*1)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0"/>
  <sheetViews>
    <sheetView workbookViewId="0">
      <selection activeCell="A1" sqref="A1"/>
    </sheetView>
  </sheetViews>
  <sheetFormatPr baseColWidth="8" defaultRowHeight="15"/>
  <cols>
    <col width="11" customWidth="1" min="1" max="1"/>
    <col width="8" customWidth="1" min="2" max="2"/>
    <col width="6" customWidth="1" min="3" max="3"/>
    <col width="9" customWidth="1" min="4" max="4"/>
    <col width="6" customWidth="1" min="5" max="5"/>
    <col width="8" customWidth="1" min="6" max="6"/>
    <col width="8" customWidth="1" min="7" max="7"/>
    <col width="22" customWidth="1" min="8" max="8"/>
    <col width="7" customWidth="1" min="9" max="9"/>
    <col width="6" customWidth="1" min="10" max="10"/>
    <col width="6" customWidth="1" min="11" max="11"/>
    <col width="11" customWidth="1" min="12" max="12"/>
    <col width="22" customWidth="1" min="13" max="13"/>
    <col width="8" customWidth="1" min="14" max="14"/>
    <col width="11" customWidth="1" min="15" max="15"/>
    <col width="11" customWidth="1" min="16" max="16"/>
    <col width="11" customWidth="1" min="17" max="17"/>
    <col width="58" customWidth="1" min="18" max="18"/>
  </cols>
  <sheetData>
    <row r="1" ht="20" customHeight="1">
      <c r="A1" s="36" t="inlineStr">
        <is>
          <t>TIER GUIDE</t>
        </is>
      </c>
    </row>
    <row r="2" ht="40" customHeight="1">
      <c r="A2" s="1" t="inlineStr">
        <is>
          <t>Live counts + Draft Pivot &amp; Action Rule per Global Tier (updates as you check off players on the Draft Board tab). The Draft Board tab has the actual player table -- a real, fully sortable/filterable Excel Table -- sort or filter by any column and the TIER LEVEL column there keeps every player's tier visible regardless.</t>
        </is>
      </c>
    </row>
    <row r="4">
      <c r="A4" s="37" t="inlineStr">
        <is>
          <t>TIER</t>
        </is>
      </c>
      <c r="B4" s="37" t="inlineStr">
        <is>
          <t>COMPOSITION</t>
        </is>
      </c>
      <c r="F4" s="37" t="inlineStr">
        <is>
          <t>CLIFF</t>
        </is>
      </c>
      <c r="G4" s="37" t="inlineStr">
        <is>
          <t>REMAINING</t>
        </is>
      </c>
      <c r="I4" s="37" t="inlineStr">
        <is>
          <t>DRAFT PIVOT &amp; ACTION RULE</t>
        </is>
      </c>
    </row>
    <row r="5" ht="34" customHeight="1">
      <c r="A5" s="38" t="inlineStr">
        <is>
          <t>Tier 1</t>
        </is>
      </c>
      <c r="B5" s="39" t="inlineStr">
        <is>
          <t>Elite / Ceiling  (1 QB / 1 RB / 1 WR / 1 TE)</t>
        </is>
      </c>
      <c r="F5" s="40" t="inlineStr">
        <is>
          <t>⚠ CLIFF ⚠</t>
        </is>
      </c>
      <c r="G5" s="40">
        <f>"4 total -- "&amp;COUNTIFS('Draft Board'!C4:C331,1,'Draft Board'!A4:A331,"&lt;&gt;✔")&amp;" still on the board"</f>
        <v/>
      </c>
      <c r="I5" s="41" t="inlineStr">
        <is>
          <t>This tier has 1 Superflex-caliber QB in it -- with 10 teams needing 2 startable arms each, take the QB here unless a clearly better cross-positional GLOBAL VALUE is sitting in this same tier. Only 7 Superflex-caliber QBs remain in every tier after this one. An elite TE-premium option is in this tier -- with 1.0 TE premium scoring this is one of the very few TEs worth a real pick; passing means waiting on the cliff to true streamer TEs. ⚠ CLIFF -- this is the single steepest value drop on the ENTIRE board. Grab someone from this tier before a run at any position pushes you past it.</t>
        </is>
      </c>
    </row>
    <row r="6" ht="34" customHeight="1">
      <c r="A6" s="42" t="inlineStr">
        <is>
          <t>Tier 2</t>
        </is>
      </c>
      <c r="B6" s="43" t="inlineStr">
        <is>
          <t>Elite / Ceiling  (5 QB / 5 RB / 5 WR / 2 TE)</t>
        </is>
      </c>
      <c r="F6" s="44" t="inlineStr"/>
      <c r="G6" s="44">
        <f>"17 total -- "&amp;COUNTIFS('Draft Board'!C4:C331,2,'Draft Board'!A4:A331,"&lt;&gt;✔")&amp;" still on the board"</f>
        <v/>
      </c>
      <c r="I6" s="45" t="inlineStr">
        <is>
          <t>This tier has 5 Superflex-caliber QBs in it -- with 10 teams needing 2 startable arms each, take the QB here unless a clearly better cross-positional GLOBAL VALUE is sitting in this same tier. Only 2 Superflex-caliber QBs remain in every tier after this one. An elite TE-premium option is in this tier -- with 1.0 TE premium scoring this is one of the very few TEs worth a real pick; passing means waiting on the cliff to true streamer TEs.</t>
        </is>
      </c>
    </row>
    <row r="7" ht="34" customHeight="1">
      <c r="A7" s="46" t="inlineStr">
        <is>
          <t>Tier 3</t>
        </is>
      </c>
      <c r="B7" s="47" t="inlineStr">
        <is>
          <t>Strong Starter / Floor  (4 QB / 5 RB / 7 WR / 3 TE)</t>
        </is>
      </c>
      <c r="F7" s="48" t="inlineStr"/>
      <c r="G7" s="48">
        <f>"19 total -- "&amp;COUNTIFS('Draft Board'!C4:C331,3,'Draft Board'!A4:A331,"&lt;&gt;✔")&amp;" still on the board"</f>
        <v/>
      </c>
      <c r="I7" s="49" t="inlineStr">
        <is>
          <t>This tier has 2 Superflex-caliber QBs in it -- with 10 teams needing 2 startable arms each, take the QB here unless a clearly better cross-positional GLOBAL VALUE is sitting in this same tier. Only 0 Superflex-caliber QBs remain in every tier after this one. An elite TE-premium option is in this tier -- with 1.0 TE premium scoring this is one of the very few TEs worth a real pick; passing means waiting on the cliff to true streamer TEs.</t>
        </is>
      </c>
    </row>
    <row r="8" ht="34" customHeight="1">
      <c r="A8" s="50" t="inlineStr">
        <is>
          <t>Tier 4</t>
        </is>
      </c>
      <c r="B8" s="51" t="inlineStr">
        <is>
          <t>Strong Starter / Floor  (5 QB / 8 RB / 9 WR / 4 TE)</t>
        </is>
      </c>
      <c r="F8" s="52" t="inlineStr"/>
      <c r="G8" s="52">
        <f>"26 total -- "&amp;COUNTIFS('Draft Board'!C4:C331,4,'Draft Board'!A4:A331,"&lt;&gt;✔")&amp;" still on the board"</f>
        <v/>
      </c>
      <c r="I8" s="53"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9" ht="34" customHeight="1">
      <c r="A9" s="54" t="inlineStr">
        <is>
          <t>Tier 5</t>
        </is>
      </c>
      <c r="B9" s="55" t="inlineStr">
        <is>
          <t>Startable / Boom-or-Bust  (3 QB / 7 RB / 8 WR / 3 TE)</t>
        </is>
      </c>
      <c r="F9" s="56" t="inlineStr"/>
      <c r="G9" s="56">
        <f>"21 total -- "&amp;COUNTIFS('Draft Board'!C4:C331,5,'Draft Board'!A4:A331,"&lt;&gt;✔")&amp;" still on the board"</f>
        <v/>
      </c>
      <c r="I9" s="57"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10" ht="34" customHeight="1">
      <c r="A10" s="58" t="inlineStr">
        <is>
          <t>Tier 6</t>
        </is>
      </c>
      <c r="B10" s="59" t="inlineStr">
        <is>
          <t>Startable / Boom-or-Bust  (3 QB / 7 RB / 7 WR / 3 TE)</t>
        </is>
      </c>
      <c r="F10" s="60" t="inlineStr"/>
      <c r="G10" s="60">
        <f>"20 total -- "&amp;COUNTIFS('Draft Board'!C4:C331,6,'Draft Board'!A4:A331,"&lt;&gt;✔")&amp;" still on the board"</f>
        <v/>
      </c>
      <c r="I10" s="61"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11" ht="34" customHeight="1">
      <c r="A11" s="62" t="inlineStr">
        <is>
          <t>Tier 7</t>
        </is>
      </c>
      <c r="B11" s="63" t="inlineStr">
        <is>
          <t>Startable / Boom-or-Bust  (3 QB / 11 RB / 11 WR / 5 TE)</t>
        </is>
      </c>
      <c r="F11" s="64" t="inlineStr"/>
      <c r="G11" s="64">
        <f>"30 total -- "&amp;COUNTIFS('Draft Board'!C4:C331,7,'Draft Board'!A4:A331,"&lt;&gt;✔")&amp;" still on the board"</f>
        <v/>
      </c>
      <c r="I11" s="65"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12" ht="34" customHeight="1">
      <c r="A12" s="66" t="inlineStr">
        <is>
          <t>Tier 8</t>
        </is>
      </c>
      <c r="B12" s="67" t="inlineStr">
        <is>
          <t>Value &amp; Streamers  (2 QB / 6 RB / 6 WR / 3 TE)</t>
        </is>
      </c>
      <c r="F12" s="68" t="inlineStr"/>
      <c r="G12" s="68">
        <f>"17 total -- "&amp;COUNTIFS('Draft Board'!C4:C331,8,'Draft Board'!A4:A331,"&lt;&gt;✔")&amp;" still on the board"</f>
        <v/>
      </c>
      <c r="I12" s="69"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13" ht="34" customHeight="1">
      <c r="A13" s="70" t="inlineStr">
        <is>
          <t>Tier 9</t>
        </is>
      </c>
      <c r="B13" s="71" t="inlineStr">
        <is>
          <t>Value &amp; Streamers  (1 QB / 9 RB / 7 WR / 4 TE)</t>
        </is>
      </c>
      <c r="F13" s="72" t="inlineStr"/>
      <c r="G13" s="72">
        <f>"21 total -- "&amp;COUNTIFS('Draft Board'!C4:C331,9,'Draft Board'!A4:A331,"&lt;&gt;✔")&amp;" still on the board"</f>
        <v/>
      </c>
      <c r="I13" s="73"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14" ht="34" customHeight="1">
      <c r="A14" s="74" t="inlineStr">
        <is>
          <t>Tier 10</t>
        </is>
      </c>
      <c r="B14" s="75" t="inlineStr">
        <is>
          <t>Bench Depth &amp; Handcuffs  (9 QB / 46 RB / 44 WR / 24 TE)</t>
        </is>
      </c>
      <c r="F14" s="76" t="inlineStr"/>
      <c r="G14" s="76">
        <f>"123 total -- "&amp;COUNTIFS('Draft Board'!C4:C331,10,'Draft Board'!A4:A331,"&lt;&gt;✔")&amp;" still on the board"</f>
        <v/>
      </c>
      <c r="I14" s="77"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15" ht="34" customHeight="1">
      <c r="A15" s="78" t="inlineStr">
        <is>
          <t>Tier 11</t>
        </is>
      </c>
      <c r="B15" s="79" t="inlineStr">
        <is>
          <t>Deep Bench / Dart Throws  (3 QB / 22 WR)</t>
        </is>
      </c>
      <c r="F15" s="80" t="inlineStr"/>
      <c r="G15" s="80">
        <f>"25 total -- "&amp;COUNTIFS('Draft Board'!C4:C331,11,'Draft Board'!A4:A331,"&lt;&gt;✔")&amp;" still on the board"</f>
        <v/>
      </c>
      <c r="I15" s="81"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16" ht="34" customHeight="1">
      <c r="A16" s="82" t="inlineStr">
        <is>
          <t>Tier 12</t>
        </is>
      </c>
      <c r="B16" s="83" t="inlineStr">
        <is>
          <t>Deep Bench / Dart Throws  (1 QB / 4 WR)</t>
        </is>
      </c>
      <c r="F16" s="84" t="inlineStr"/>
      <c r="G16" s="84">
        <f>"5 total -- "&amp;COUNTIFS('Draft Board'!C4:C331,12,'Draft Board'!A4:A331,"&lt;&gt;✔")&amp;" still on the board"</f>
        <v/>
      </c>
      <c r="I16" s="85" t="inlineStr">
        <is>
          <t>No QB in this tier. 0 Superflex-caliber QBs remain in later tiers -- getting thin, don't wait much longer. Don't reach for one here if the RB/WR/TE value in this tier is clearly better -- but don't wait so long you're forced into true streamer territory at your Superflex slot either. Every true 1.0-TE-premium cheat-code TE is gone as of this tier -- punt TE to streamer territory and reinforce QB/RB/WR instead.</t>
        </is>
      </c>
    </row>
    <row r="18">
      <c r="A18" s="86" t="inlineStr">
        <is>
          <t>HOW TO USE THIS DRAFT BOARD</t>
        </is>
      </c>
    </row>
    <row r="19">
      <c r="A19" s="87" t="inlineStr"/>
    </row>
    <row r="20">
      <c r="A20" s="88" t="inlineStr">
        <is>
          <t>DRAFT-MORNING WATCH LIST (added 8/30, based on a fresh research pass the night before the draft)</t>
        </is>
      </c>
    </row>
    <row r="21">
      <c r="A21" s="87" t="inlineStr">
        <is>
          <t>- Confirm active/practicing status before you draft: Jahmyr Gibbs (hamstring, pulled from practice after signing his extension -- 'on schedule' for the opener per the team) and Breece Hall (groin strain, out 8/17 -- expected back for Week 1 but not yet fully re-confirmed). Both are almost certainly fine; just don't assume, check.</t>
        </is>
      </c>
    </row>
    <row r="22">
      <c r="A22" s="87" t="inlineStr">
        <is>
          <t>- ADP/VALUE DELTA blind spot: FantasyPros' ADP tool has no TE-premium toggle, so it prices Bowers/McBride/Kraft/Goedert off a non-TEP market. A real 2026 expert TE-premium Superflex mock had Bowers going 1.09 and McBride 2.09 -- earlier than this sheet's ADP column implies. Don't assume an elite TE-premium TE will slide to you like the Value Delta column suggests; if he's still there at your natural turn, that's the signal to take him, not to wait.</t>
        </is>
      </c>
    </row>
    <row r="23">
      <c r="A23" s="87" t="inlineStr">
        <is>
          <t>- Superflex QB pacing: real 2026 Superflex mock drafts show most rooms have BOTH starting Superflex QB slots filled by around round 5-6. Don't let the Tier Guide's 'you can wait on QB2' language lull you past that point -- if you're into rounds 7-8 with only one QB rostered, treat your next good QB as a near-must-take over a marginal RB/WR/TE.</t>
        </is>
      </c>
    </row>
    <row r="24">
      <c r="A24" s="87" t="inlineStr"/>
    </row>
    <row r="25">
      <c r="A25" s="88" t="inlineStr">
        <is>
          <t>ROSTER-AWARE MARGINAL VALUE GUIDE (v7, added the night before the draft)</t>
        </is>
      </c>
    </row>
    <row r="26">
      <c r="A26" s="87" t="inlineStr">
        <is>
          <t>GLOBAL VALUE is computed once, up front, for the whole player pool -- it does not know what's already on YOUR roster, and it can't recalculate live as you draft (that would need an actual running program watching your picks in real time, which we deliberately did not rush into building and testing for the first time hours before a real draft -- ask Claude for the full reasoning if you want it). So apply this discount yourself, by eye, before locking in a pick: mentally knock a player's GLOBAL VALUE down by roughly this much based on how many you already have at that position.</t>
        </is>
      </c>
    </row>
    <row r="27">
      <c r="A27" s="87" t="inlineStr">
        <is>
          <t>- QB: no discount for your 1st or 2nd (you need both the starter slot and the Superflex slot) -- discount a 3rd QB to roughly half its GLOBAL VALUE (bye-week/emergency insurance only), a 4th to almost nothing.</t>
        </is>
      </c>
    </row>
    <row r="28">
      <c r="A28" s="87" t="inlineStr">
        <is>
          <t>- RB and WR: no discount through your first 3 -- discount a 4th to roughly 75% and a 5th+ to roughly 50-55% (still real bench depth and FLEX/handcuff value in this format, just not a starter-caliber add anymore).</t>
        </is>
      </c>
    </row>
    <row r="29">
      <c r="A29" s="87" t="inlineStr">
        <is>
          <t>- TE: no discount for your 1st -- a 2nd is still real value (TE premium plus FLEX-eligibility keeps a 2nd TE around 75%) -- but discount a 3rd down to roughly 25-45%. You can only ever start 1 TE and occupy 1 FLEX with a second, so a 3rd elite TE mostly sits on your bench -- this is exactly what the 3-TE build in the mock-draft review got dinged for. Convert that pick into a startable RB/WR instead.</t>
        </is>
      </c>
    </row>
    <row r="30">
      <c r="A30" s="87" t="inlineStr"/>
    </row>
    <row r="31">
      <c r="A31" s="87" t="inlineStr">
        <is>
          <t>1. TWO TABS WORK TOGETHER. The TIER GUIDE at the very top of THIS tab (Instructions) is a compact, always-visible reference showing each Global Tier's composition, cliff warning, live remaining count, and Draft Pivot &amp; Action Rule -- keep this tab open next to Draft Board while you draft. The 'Draft Board' tab itself is just a one-line pointer banner plus the real player list, a native Excel TABLE -- click any column's filter arrow to sort or filter by ADP, POS, PLAYER, GLOBAL VALUE, anything. They're on separate tabs (rather than stacked on one sheet) so Excel's sort/filter never has to work around merged banner rows mixed into the data -- and so checking a player off on Draft Board still live-updates the remaining counts here via a cross-sheet formula.</t>
        </is>
      </c>
    </row>
    <row r="32">
      <c r="A32" s="87" t="inlineStr">
        <is>
          <t>2. Drafted column (col A): click the cell, use the dropdown, pick the checkmark when a player is off the board. The whole row auto-strikes-through and grays out. Clear the cell (Delete key) to undo. This still works no matter how you've sorted/filtered the table.</t>
        </is>
      </c>
    </row>
    <row r="33">
      <c r="A33" s="87" t="inlineStr">
        <is>
          <t>3. TIER LEVEL column ('Tier 1', 'Tier 2', ...) rides on every player row specifically so a player's tier stays visible even after you sort the table by ADP, name, or anything else -- you never lose track of tier grouping. TIER (numeric) is the same value, kept for sorting.</t>
        </is>
      </c>
    </row>
    <row r="34">
      <c r="A34" s="87" t="inlineStr">
        <is>
          <t>4. ADP column: real 2026 Superflex Half-PPR consensus Average Draft Position (FantasyPros Real-Time ADP). VALUE DELTA = ADP - GLOBAL RANK: a big GREEN positive number means the market is letting that player slide well past where this model has him -- a real draft-day discount worth jumping on. A big RED negative number flags a likely reach if you take him there. Blank in both columns = no published ADP for that player (normal for the deepest ~78 players in the pool -- see DATA PROVENANCE).</t>
        </is>
      </c>
    </row>
    <row r="35">
      <c r="A35" s="87" t="inlineStr">
        <is>
          <t>5. TIER (global) is the primary tier column -- it's cut on the same cross-positional GLOBAL VALUE scale as the row order, using the same data-driven gap-analysis approach as before (biggest natural drop-offs become tier walls), just run once across all 328 players instead of four times. The single biggest gap on the ENTIRE board is the RED 'CLIFF' tier in the Tier Guide above.</t>
        </is>
      </c>
    </row>
    <row r="36">
      <c r="A36" s="87" t="inlineStr">
        <is>
          <t>6. POS ECR and POS TIER are reference columns relative ONLY to a player's own position -- useful for 'who's the better WR' questions, but NOT for cross-position draft-order decisions. Use TIER/GLOBAL VALUE (or ADP/VALUE DELTA) for 'who should I actually take next.'</t>
        </is>
      </c>
    </row>
    <row r="37">
      <c r="A37" s="87" t="inlineStr">
        <is>
          <t>7. The Tier Guide's Draft Pivot &amp; Action Rule is DATA-DRIVEN per tier -- generated from what's actually in that tier (how many Superflex-caliber QBs, whether an elite TE-premium TE is mixed in, how many of each remain in later tiers), and its live remaining-count updates automatically as you check off players on the Draft Board tab, regardless of sort order.</t>
        </is>
      </c>
    </row>
    <row r="38">
      <c r="A38" s="87" t="inlineStr">
        <is>
          <t>8. CY column: gold highlight = final year of that player's deal (rookie or veteran).</t>
        </is>
      </c>
    </row>
    <row r="39">
      <c r="A39" s="87" t="inlineStr">
        <is>
          <t>9. EARLY SoS: color-coded schedule difficulty (green=soft, red=gauntlet), isolated to WEEKS 1-4 ONLY -- built from each team's real 2026 Weeks 1-4 opponents, not a season-long blend. The 4 real opponents' pass/run defensive strength is averaged and re-ranked across all 32 teams. See the script's DATA PROVENANCE note for the honest caveat on the defense-strength inputs (real final-2025 yards-allowed proxy, no paid 2026 DVOA split exists free).</t>
        </is>
      </c>
    </row>
    <row r="40">
      <c r="A40" s="87" t="inlineStr">
        <is>
          <t>10. SF / TEP column: flags Superflex-relevant QBs and TE-premium cheat-code TEs (based on POS TIER, since 'is this an elite QB/TE' is a within-position question), plus a bonus 'SF Overall #n' tag for the ~20 players whose true Superflex-specific ECR rank was publicly available (FantasyPros paywalls the rest of that list).</t>
        </is>
      </c>
    </row>
    <row r="41">
      <c r="A41" s="87" t="inlineStr">
        <is>
          <t>11. GLOBAL VALUE column: a Value-Based-Drafting (VBD) score -- ECR converted to an estimated points curve per position, minus a replacement-level baseline for THIS league's real starter counts -- see the bottom of the 'Scoring Rules' sheet for the exact formula and constants.</t>
        </is>
      </c>
    </row>
    <row r="42">
      <c r="A42" s="87" t="inlineStr">
        <is>
          <t>12. FLAG column: STUD / FLOOR / SLEEPER / GAMBLE / BUST / HANDCUFF / DEPTH, carried over from the Aug 24-29, 2026 research pass. A player can be a high Tier (real talent/ECR) AND flagged BUST (i.e. being drafted at a price the current situation doesn't support).</t>
        </is>
      </c>
    </row>
    <row r="43">
      <c r="A43" s="87" t="inlineStr">
        <is>
          <t>13. Use the filter arrows on the table's header row to show just one position, sort by ADP or VALUE DELTA, hide drafted players, etc. A note on your 8th-overall pick: with 7 picks ahead of you in round 1, expect the front of Global Tier 1 to already be gone by 1.08 -- treat the back of Tier 1 and the front of Tier 2 as your realistic target range there.</t>
        </is>
      </c>
    </row>
    <row r="44">
      <c r="A44" s="87" t="inlineStr">
        <is>
          <t>14. BYE column: that player's real 2026 bye week (verified against 2 independent sources -- there is no Week 12 bye league-wide this season). "FA" means that player has no current NFL team, so there is genuinely no bye week to report (Tyreek Hill, Kareem Hunt, Joe Mixon, Cedric Tillman) -- that's a verified absence, not missing data. Purely informational -- it does not feed into GLOBAL VALUE or tiering. Use it to sanity-check your roster once you've got starters at each position, so you're not left scrambling for a fill-in when several of them share a bye -- Week 11 is this year's most crowded bye week (6 teams), worth watching for.</t>
        </is>
      </c>
    </row>
    <row r="45">
      <c r="A45" s="87" t="inlineStr"/>
    </row>
    <row r="46">
      <c r="A46" s="89" t="inlineStr">
        <is>
          <t>EXTENDING OR CORRECTING THE PLAYER POOL</t>
        </is>
      </c>
    </row>
    <row r="47">
      <c r="A47" s="87" t="inlineStr">
        <is>
          <t>The full 328-player ECR pool covers QB/RB/WR/TE deep into replacement level -- players.csv is the source of truth (GlobalRank, Name, Team, Pos, ECR_Pos, PosTier, TierLevel, Bye, ContractYear, Flag, Notes, SoS_*, ADP, ValueDelta, GlobalValue, Tier). To hand-edit a tier, flag, ADP, or note, change it there and re-run the script with that file wired in as the source (or just ask Claude to do it).</t>
        </is>
      </c>
    </row>
    <row r="48">
      <c r="A48" s="87" t="inlineStr"/>
    </row>
    <row r="49">
      <c r="A49" s="89" t="inlineStr">
        <is>
          <t>DATA PROVENANCE</t>
        </is>
      </c>
    </row>
    <row r="50">
      <c r="A50" s="87" t="inlineStr">
        <is>
          <t>ECR + team: FantasyPros Half-PPR Overall Draft ECR, 108 experts, fetched 2026-08-29. Situational tags were hand-researched the week of Aug 24-29, 2026 from RotoWire, FantasyPros, CBS Sports, Yahoo, PhillyVoice, NFL.com, and the league manager's own contract-year depth-chart screenshots -- only players from that pass carry a Flag/rich Note; everyone else in the ECR pool is unflagged but still correctly ECR-ranked. Re-verify anything time-sensitive the morning of your draft. GLOBAL VALUE is a VBD estimate built on realistic but hand-set positional point curves, not an official 2026 projection -- see the 'Scoring Rules' sheet for the full methodology and constants. ADP: FantasyPros Real-Time ADP, Superflex view, Half-PPR, fetched 2026-08-29, 12-team (no 10-team toggle was available -- treat it as a relative ranking, not a literal pick slot), capped at 250 real players so the deepest ~78 players in the pool have no ADP/Value Delta. DRAFT-MORNING REFRESH (8/30): the Flag/Notes for Bucky Irving, Matthew Golden, David Montgomery, Rhamondre Stevenson, Kenny Gainwell, Breece Hall, Chris Olave, Jonah Coleman, Jalen Coker, Tyler Allgeier, Dallas Goedert, Jahmyr Gibbs, Trevor Lawrence, Bryce Young, Brian Thomas Jr., Jakobi Meyers, Michael Pittman Jr., Rashid Shaheed, Jaylen Waddle, and Romeo Doubs were corrected or added from a same-night research pass (training camp reports, injury news, trades) -- look for 'NEW 8/30' / 'UPDATED 8/30' in their Notes.</t>
        </is>
      </c>
    </row>
  </sheetData>
  <mergeCells count="74">
    <mergeCell ref="B9:E9"/>
    <mergeCell ref="G12:H12"/>
    <mergeCell ref="I14:R14"/>
    <mergeCell ref="I5:R5"/>
    <mergeCell ref="A25:R25"/>
    <mergeCell ref="A41:R41"/>
    <mergeCell ref="I8:R8"/>
    <mergeCell ref="B6:E6"/>
    <mergeCell ref="G11:H11"/>
    <mergeCell ref="A46:R46"/>
    <mergeCell ref="I4:R4"/>
    <mergeCell ref="B15:E15"/>
    <mergeCell ref="B5:E5"/>
    <mergeCell ref="A37:R37"/>
    <mergeCell ref="G8:H8"/>
    <mergeCell ref="A27:R27"/>
    <mergeCell ref="B10:E10"/>
    <mergeCell ref="I10:R10"/>
    <mergeCell ref="A18:R18"/>
    <mergeCell ref="A50:R50"/>
    <mergeCell ref="A26:R26"/>
    <mergeCell ref="I13:R13"/>
    <mergeCell ref="A21:R21"/>
    <mergeCell ref="B4:E4"/>
    <mergeCell ref="G7:H7"/>
    <mergeCell ref="A2:R2"/>
    <mergeCell ref="A33:R33"/>
    <mergeCell ref="G10:H10"/>
    <mergeCell ref="A47:R47"/>
    <mergeCell ref="A42:R42"/>
    <mergeCell ref="I9:R9"/>
    <mergeCell ref="B16:E16"/>
    <mergeCell ref="A32:R32"/>
    <mergeCell ref="B7:E7"/>
    <mergeCell ref="G6:H6"/>
    <mergeCell ref="G13:H13"/>
    <mergeCell ref="I15:R15"/>
    <mergeCell ref="I6:R6"/>
    <mergeCell ref="A23:R23"/>
    <mergeCell ref="I11:R11"/>
    <mergeCell ref="A22:R22"/>
    <mergeCell ref="A35:R35"/>
    <mergeCell ref="A20:R20"/>
    <mergeCell ref="A29:R29"/>
    <mergeCell ref="A43:R43"/>
    <mergeCell ref="A38:R38"/>
    <mergeCell ref="B12:E12"/>
    <mergeCell ref="G15:H15"/>
    <mergeCell ref="A19:R19"/>
    <mergeCell ref="A28:R28"/>
    <mergeCell ref="G5:H5"/>
    <mergeCell ref="B11:E11"/>
    <mergeCell ref="G14:H14"/>
    <mergeCell ref="A44:R44"/>
    <mergeCell ref="I7:R7"/>
    <mergeCell ref="A31:R31"/>
    <mergeCell ref="I16:R16"/>
    <mergeCell ref="A34:R34"/>
    <mergeCell ref="B14:E14"/>
    <mergeCell ref="A40:R40"/>
    <mergeCell ref="A48:R48"/>
    <mergeCell ref="G4:H4"/>
    <mergeCell ref="A30:R30"/>
    <mergeCell ref="A39:R39"/>
    <mergeCell ref="B8:E8"/>
    <mergeCell ref="G16:H16"/>
    <mergeCell ref="A24:R24"/>
    <mergeCell ref="B13:E13"/>
    <mergeCell ref="A49:R49"/>
    <mergeCell ref="I12:R12"/>
    <mergeCell ref="A36:R36"/>
    <mergeCell ref="A1:R1"/>
    <mergeCell ref="A45:R45"/>
    <mergeCell ref="G9:H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2026-08-30T16:14:44Z</dcterms:created>
  <dcterms:modified xmlns:dcterms="http://purl.org/dc/terms/" xmlns:xsi="http://www.w3.org/2001/XMLSchema-instance" xsi:type="dcterms:W3CDTF">2026-08-30T16:14:45Z</dcterms:modified>
</cp:coreProperties>
</file>